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.s.steemers/Nextcloud/pmc_vanboxtel/projects/Burkitt_github/Data/"/>
    </mc:Choice>
  </mc:AlternateContent>
  <xr:revisionPtr revIDLastSave="0" documentId="13_ncr:1_{450A0721-2444-6E41-9DC9-2F98F1376D22}" xr6:coauthVersionLast="47" xr6:coauthVersionMax="47" xr10:uidLastSave="{00000000-0000-0000-0000-000000000000}"/>
  <bookViews>
    <workbookView xWindow="0" yWindow="760" windowWidth="30240" windowHeight="17520" xr2:uid="{42CF7DF2-1AE8-0C4E-8116-5678FAC88E91}"/>
  </bookViews>
  <sheets>
    <sheet name="Sheet1" sheetId="1" r:id="rId1"/>
  </sheets>
  <definedNames>
    <definedName name="_xlnm._FilterDatabase" localSheetId="0" hidden="1">Sheet1!$A$1:$U$346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7" i="1" l="1"/>
  <c r="U338" i="1"/>
  <c r="U339" i="1"/>
  <c r="U340" i="1"/>
  <c r="U341" i="1"/>
  <c r="U342" i="1"/>
  <c r="U343" i="1"/>
  <c r="U344" i="1"/>
  <c r="U345" i="1"/>
  <c r="U346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2" i="1"/>
</calcChain>
</file>

<file path=xl/sharedStrings.xml><?xml version="1.0" encoding="utf-8"?>
<sst xmlns="http://schemas.openxmlformats.org/spreadsheetml/2006/main" count="4138" uniqueCount="397">
  <si>
    <t>Sample_name</t>
  </si>
  <si>
    <t>Biopsy_type</t>
  </si>
  <si>
    <t>Sex</t>
  </si>
  <si>
    <t>Percentage_genome_1X</t>
  </si>
  <si>
    <t>Percentage_genome_5X</t>
  </si>
  <si>
    <t>Lymphoma_type</t>
  </si>
  <si>
    <t>Callable_Loci</t>
  </si>
  <si>
    <t>PB08410-BLLN-BCELLP1B11</t>
  </si>
  <si>
    <t>PB08410-BLLN-BCELLP2B10</t>
  </si>
  <si>
    <t>PB08410-BLLN-BCELLP2D10</t>
  </si>
  <si>
    <t>PB08410-BLLN-BCELLP2E10</t>
  </si>
  <si>
    <t>PB08410-BLLN-BCELLP4B11</t>
  </si>
  <si>
    <t>PB08410-BLLN-BCELLP4D10</t>
  </si>
  <si>
    <t>PB08410-BLLN-BCELLP4F10</t>
  </si>
  <si>
    <t>PB08410-BLLN-BCELLP4G10</t>
  </si>
  <si>
    <t>PB08410-BM-MSCBULK</t>
  </si>
  <si>
    <t>PB08410-BLBM-BCELLP2B8</t>
  </si>
  <si>
    <t>PB08410-BLBM-BCELLP2C8</t>
  </si>
  <si>
    <t>PB08410-BLBM-BCELLP2D8</t>
  </si>
  <si>
    <t>PB08410-BLBM-BCELLP2E8</t>
  </si>
  <si>
    <t>PB08410-BLBM-BCELLP2G8</t>
  </si>
  <si>
    <t>PB08410-BLBM-BCELLP5E8</t>
  </si>
  <si>
    <t xml:space="preserve"> PB08410-BLBM-BCELLP5F8</t>
  </si>
  <si>
    <t xml:space="preserve"> PB08410-BLBM-BCELLP5G10</t>
  </si>
  <si>
    <t>PB08410-BM-BCELL2C9</t>
  </si>
  <si>
    <t>PB08410-BM-BCELL2E6</t>
  </si>
  <si>
    <t>PB08410-BM-BCELL2C8</t>
  </si>
  <si>
    <t>PB08410-BM-BCELL2D6</t>
  </si>
  <si>
    <t>PB08410-BM-BCELL2F6</t>
  </si>
  <si>
    <t>PB08410</t>
  </si>
  <si>
    <t>Burkitt</t>
  </si>
  <si>
    <t>LN</t>
  </si>
  <si>
    <t>BM</t>
  </si>
  <si>
    <t>Tumor_perc_in_sample</t>
  </si>
  <si>
    <t>F</t>
  </si>
  <si>
    <t>ResolveDNA_version</t>
  </si>
  <si>
    <t>v1</t>
  </si>
  <si>
    <t>Mean_coverage</t>
  </si>
  <si>
    <t>PB11197-BLASC-BCELLP2B4</t>
  </si>
  <si>
    <t>PB11197-BLASC-BCELLP2C4</t>
  </si>
  <si>
    <t>PB11197-BLASC-BCELLP2D4</t>
  </si>
  <si>
    <t>PB11197-BLASC-BCELLP2E4</t>
  </si>
  <si>
    <t>PB11197-BLASC-BCELLP2F4</t>
  </si>
  <si>
    <t>PB11197-BLASC-BCELLP1J3</t>
  </si>
  <si>
    <t>PB11197-BLASC-BCELLP1L3</t>
  </si>
  <si>
    <t>PB11197-BLASC-BCELLP1O3</t>
  </si>
  <si>
    <t>PB11197-BLASC-BCELLP1P3</t>
  </si>
  <si>
    <t>PB11197-BLASC-BCELLP1B4</t>
  </si>
  <si>
    <t>PB11197-BLASC-BCELLP1C4</t>
  </si>
  <si>
    <t>PB11197-BLASC-BCELLP1I4</t>
  </si>
  <si>
    <t>PB11197-BLASC-BCELLP1K4</t>
  </si>
  <si>
    <t>PB11197-BLASC-BCELLBULK</t>
  </si>
  <si>
    <t>PB11197</t>
  </si>
  <si>
    <t>ASC</t>
  </si>
  <si>
    <t>v2</t>
  </si>
  <si>
    <t>N/A</t>
  </si>
  <si>
    <t>M</t>
  </si>
  <si>
    <t>PB11197-BLBM-MSCBULK</t>
  </si>
  <si>
    <t>PB14458-BLBM-BCELLP2B3</t>
  </si>
  <si>
    <t>PB14458-BLBM-BCELLP2B4</t>
  </si>
  <si>
    <t>PB14458-BLBM-BCELLP2C4</t>
  </si>
  <si>
    <t>PB14458-BLBM-BCELLP2E4</t>
  </si>
  <si>
    <t>PB14458-BLBM-BCELLP2F2</t>
  </si>
  <si>
    <t>PB14458-BLBM-BCELLP2F4</t>
  </si>
  <si>
    <t>PB14458-BLBM-BCELLP2I2</t>
  </si>
  <si>
    <t>PB14458-BLBM-BCELLP2L3</t>
  </si>
  <si>
    <t>PB14458-BLBM-BCELLP2L4</t>
  </si>
  <si>
    <t>PB14458-BLBM-BCELLP2M4</t>
  </si>
  <si>
    <t>PB14458-BLBM-BCELLP2N2</t>
  </si>
  <si>
    <t>PB14458-BLBM-BCELLP2N4</t>
  </si>
  <si>
    <t>PB14458-BLPL-BCELLP4B3</t>
  </si>
  <si>
    <t>PB14458-BLPL-BCELLP4B5</t>
  </si>
  <si>
    <t>PB14458-BLPL-BCELLP4C3</t>
  </si>
  <si>
    <t>PB14458-BLPL-BCELLP4D3</t>
  </si>
  <si>
    <t>PB14458-BLPL-BCELLP4D5</t>
  </si>
  <si>
    <t>PB14458-BLPL-BCELLP4E3</t>
  </si>
  <si>
    <t>PB14458-BLPL-BCELLP4J3</t>
  </si>
  <si>
    <t>PB14458-BLPL-BCELLP4K3</t>
  </si>
  <si>
    <t>PB14458-BLPL-BCELLP4K5</t>
  </si>
  <si>
    <t>PB14458-BLPL-BCELLP4L3</t>
  </si>
  <si>
    <t>PB14458-BLPL-BCELLP4L5</t>
  </si>
  <si>
    <t>PB14458-BLPL-BCELLP4M3</t>
  </si>
  <si>
    <t>PB14458</t>
  </si>
  <si>
    <t>PL</t>
  </si>
  <si>
    <t>PB14458-BLBM-BCELLBULK</t>
  </si>
  <si>
    <t>PB14458-BLBM-MSCBULK</t>
  </si>
  <si>
    <t>PB14458-BLPL-BCELLBULK</t>
  </si>
  <si>
    <t>Callable_fraction</t>
  </si>
  <si>
    <t>HMF_ID</t>
  </si>
  <si>
    <t>Novogene_ID</t>
  </si>
  <si>
    <t>PRN4</t>
  </si>
  <si>
    <t>P3G6</t>
  </si>
  <si>
    <t>P856</t>
  </si>
  <si>
    <t>Myc_translocation_IGV</t>
  </si>
  <si>
    <t>Biopsy_date_YMD</t>
  </si>
  <si>
    <t>Age_at_sampling_Y</t>
  </si>
  <si>
    <t>DOB_YMD</t>
  </si>
  <si>
    <t>DOD_YMD</t>
  </si>
  <si>
    <t>Sequencing_location</t>
  </si>
  <si>
    <t>HMF</t>
  </si>
  <si>
    <t>P3G6GDDABC71</t>
  </si>
  <si>
    <t>P3G6GPDABC26</t>
  </si>
  <si>
    <t>P3G6GPDABC27</t>
  </si>
  <si>
    <t>P3G6GPDABC28</t>
  </si>
  <si>
    <t>P3G6GPDABC31</t>
  </si>
  <si>
    <t>Novogene</t>
  </si>
  <si>
    <t>PIA9GTDABC1</t>
  </si>
  <si>
    <t>PIA9GTDABC2</t>
  </si>
  <si>
    <t>PIA9GTDABC3</t>
  </si>
  <si>
    <t>PIA9GTDABC4</t>
  </si>
  <si>
    <t>PIA9GTDABC5</t>
  </si>
  <si>
    <t>PIA9GTDABC6</t>
  </si>
  <si>
    <t>PIA9GTDABC7</t>
  </si>
  <si>
    <t>PIA9GTDABC8</t>
  </si>
  <si>
    <t>PIA9GTDABC9</t>
  </si>
  <si>
    <t>PIA9GTDABC10</t>
  </si>
  <si>
    <t>PIA9GTDABC11</t>
  </si>
  <si>
    <t>PIA9GTDABC12</t>
  </si>
  <si>
    <t>PIA9GTDABC13</t>
  </si>
  <si>
    <t>PIA9GTDABC14</t>
  </si>
  <si>
    <t>PIA9GTDABC15</t>
  </si>
  <si>
    <t>PIA9GTDABC16</t>
  </si>
  <si>
    <t>PIA9GTDABC17</t>
  </si>
  <si>
    <t>PIA9GTDABC18</t>
  </si>
  <si>
    <t>PIA9GTDABC19</t>
  </si>
  <si>
    <t>PIA9GTDABC20</t>
  </si>
  <si>
    <t>PIA9GTDABC21</t>
  </si>
  <si>
    <t>PIA9GTDABC22</t>
  </si>
  <si>
    <t>PIA9GTDABC23</t>
  </si>
  <si>
    <t>PIA9GTDABC24</t>
  </si>
  <si>
    <t>PIA9GTDABC25</t>
  </si>
  <si>
    <t>PIA9GTDABC26</t>
  </si>
  <si>
    <t>PIA9GTDABC27</t>
  </si>
  <si>
    <t>PIA9GTDABC28</t>
  </si>
  <si>
    <t>PIA9GTDABC29</t>
  </si>
  <si>
    <t>PIA9GTDABC30</t>
  </si>
  <si>
    <t>PIA9GTDABC31</t>
  </si>
  <si>
    <t>PIA9GTDABC32</t>
  </si>
  <si>
    <t>PIA9GTDABC33</t>
  </si>
  <si>
    <t>PIA9GTDABC34</t>
  </si>
  <si>
    <t>PIA9GTDABC35</t>
  </si>
  <si>
    <t>PIA9GTDABC36</t>
  </si>
  <si>
    <t>PIA9GTDABC37</t>
  </si>
  <si>
    <t>PIA9GTDABC38</t>
  </si>
  <si>
    <t>PIA9GTDABC39</t>
  </si>
  <si>
    <t>PIA9GTDABC40</t>
  </si>
  <si>
    <t>PIA9GTDABC41</t>
  </si>
  <si>
    <t>PIA9GTDABC42</t>
  </si>
  <si>
    <t>PIA9GTDABC43</t>
  </si>
  <si>
    <t>PIA9GTDABC44</t>
  </si>
  <si>
    <t>PIA9GTDABC45</t>
  </si>
  <si>
    <t>PIA9GTDABC46</t>
  </si>
  <si>
    <t>PIA9GTDABC47</t>
  </si>
  <si>
    <t>PIA9GTDABC48</t>
  </si>
  <si>
    <t>PIA9GTDABC49</t>
  </si>
  <si>
    <t>PIA9GTDABC50</t>
  </si>
  <si>
    <t>PIA9GTDABC51</t>
  </si>
  <si>
    <t>PIA9GTDBBC52</t>
  </si>
  <si>
    <t>PIA9GTDBBC53</t>
  </si>
  <si>
    <t>PIA9GTDBBC54</t>
  </si>
  <si>
    <t>PIA9GTDBBC55</t>
  </si>
  <si>
    <t>PIA9GTDBBC56</t>
  </si>
  <si>
    <t>PIA9GTDBBC57</t>
  </si>
  <si>
    <t>PIA9GTDBBC58</t>
  </si>
  <si>
    <t>PIA9GTDBBC59</t>
  </si>
  <si>
    <t>PIA9GTDBBC60</t>
  </si>
  <si>
    <t>PIA9GTDBBC61</t>
  </si>
  <si>
    <t>PIA9GTDBBC62</t>
  </si>
  <si>
    <t>PIA9GTDBBC63</t>
  </si>
  <si>
    <t>PIA9GTDBBC64</t>
  </si>
  <si>
    <t>PIA9GTDBBC65</t>
  </si>
  <si>
    <t>PIA9GTDBBC66</t>
  </si>
  <si>
    <t>PIA9GTDBBC67</t>
  </si>
  <si>
    <t>PIA9GTDBBC68</t>
  </si>
  <si>
    <t>PIA9GTDBBC69</t>
  </si>
  <si>
    <t>PIA9GTDBBC70</t>
  </si>
  <si>
    <t>PIA9GTDBBC71</t>
  </si>
  <si>
    <t>PIA9GTDBBC72</t>
  </si>
  <si>
    <t>PIA9GTDBBC73</t>
  </si>
  <si>
    <t>PIA9GTDBBC74</t>
  </si>
  <si>
    <t>PIA9GTDBBC75</t>
  </si>
  <si>
    <t>PIA9GTDBBC76</t>
  </si>
  <si>
    <t>PIA9GTDBBC77</t>
  </si>
  <si>
    <t>PIA9GBDABC78</t>
  </si>
  <si>
    <t>PIA9GBDBMS79</t>
  </si>
  <si>
    <t>PJBUGTDABC1</t>
  </si>
  <si>
    <t>PJBUGTDABC2</t>
  </si>
  <si>
    <t>PJBUGTDABC3</t>
  </si>
  <si>
    <t>PJBUGTDABC4</t>
  </si>
  <si>
    <t>PJBUGTDABC5</t>
  </si>
  <si>
    <t>PJBUGTDABC6</t>
  </si>
  <si>
    <t>PJBUGTDABC7</t>
  </si>
  <si>
    <t>PJBUGTDABC8</t>
  </si>
  <si>
    <t>PJBUGTDABC9</t>
  </si>
  <si>
    <t>PJBUGTDABC10</t>
  </si>
  <si>
    <t>PJBUGTDABC11</t>
  </si>
  <si>
    <t>PJBUGTDABC12</t>
  </si>
  <si>
    <t>PJBUGTDABC13</t>
  </si>
  <si>
    <t>PJBUGTDABC14</t>
  </si>
  <si>
    <t>PJBUGTDABC15</t>
  </si>
  <si>
    <t>PJBUGTDABC16</t>
  </si>
  <si>
    <t>PJBUGTDABC17</t>
  </si>
  <si>
    <t>PJBUGTDABC18</t>
  </si>
  <si>
    <t>PJBUGTDABC19</t>
  </si>
  <si>
    <t>PJBUGTDABC20</t>
  </si>
  <si>
    <t>PJBUGTDABC21</t>
  </si>
  <si>
    <t>PJBUGTDABC22</t>
  </si>
  <si>
    <t>PJBUGTDABC23</t>
  </si>
  <si>
    <t>PJBUGTDABC24</t>
  </si>
  <si>
    <t>PJBUGTDABC25</t>
  </si>
  <si>
    <t>PJBUGTDABC26</t>
  </si>
  <si>
    <t>PJBUGTDABC27</t>
  </si>
  <si>
    <t>PJBUGTDABC28</t>
  </si>
  <si>
    <t>PJBUGTDABC29</t>
  </si>
  <si>
    <t>PJBUGTDABC30</t>
  </si>
  <si>
    <t>PJBUGTDABC31</t>
  </si>
  <si>
    <t>PJBUGTDABC32</t>
  </si>
  <si>
    <t>PJBUGTDABC33</t>
  </si>
  <si>
    <t>PJBUGTDABC34</t>
  </si>
  <si>
    <t>PJBUGTDABC35</t>
  </si>
  <si>
    <t>PJBUGTDABC36</t>
  </si>
  <si>
    <t>PJBUGTDABC37</t>
  </si>
  <si>
    <t>PJBUGTDABC38</t>
  </si>
  <si>
    <t>PJBUGTDABC39</t>
  </si>
  <si>
    <t>PJBUGTDABC40</t>
  </si>
  <si>
    <t>PJBUGTDABC41</t>
  </si>
  <si>
    <t>PJBUGTDABC42</t>
  </si>
  <si>
    <t>PJBUGTDABC43</t>
  </si>
  <si>
    <t>PJBUGTDABC44</t>
  </si>
  <si>
    <t>PJBUGTDABC45</t>
  </si>
  <si>
    <t>PJBUGTDABC46</t>
  </si>
  <si>
    <t>PJBUGTDABC47</t>
  </si>
  <si>
    <t>PJBUGTDABC48</t>
  </si>
  <si>
    <t>PJBUGTDABC49</t>
  </si>
  <si>
    <t>PJBUGTDABC50</t>
  </si>
  <si>
    <t>PJBUGTDABC51</t>
  </si>
  <si>
    <t>PJBUGTDABC52</t>
  </si>
  <si>
    <t>PJBUGTDABC53</t>
  </si>
  <si>
    <t>PJBUGTDABC54</t>
  </si>
  <si>
    <t>PJBUGTDABC55</t>
  </si>
  <si>
    <t>PJBUGTDABC56</t>
  </si>
  <si>
    <t>PJBUGTDABC57</t>
  </si>
  <si>
    <t>PJBUGTDABC58</t>
  </si>
  <si>
    <t>PJBUGTDBBC59</t>
  </si>
  <si>
    <t>PJBUGTDBBC60</t>
  </si>
  <si>
    <t>PJBUGTDBBC61</t>
  </si>
  <si>
    <t>PJBUGTDBBC62</t>
  </si>
  <si>
    <t>PJBUGTDBBC63</t>
  </si>
  <si>
    <t>PJBUGTDBBC64</t>
  </si>
  <si>
    <t>PJBUGTDBBC65</t>
  </si>
  <si>
    <t>PJBUGTDBBC66</t>
  </si>
  <si>
    <t>PJBUGTDBBC67</t>
  </si>
  <si>
    <t>PJBUGTDBBC68</t>
  </si>
  <si>
    <t>PJBUGTDBBC69</t>
  </si>
  <si>
    <t>PJBUGTDBBC70</t>
  </si>
  <si>
    <t>PJBUGTDBBC71</t>
  </si>
  <si>
    <t>PJBUGTDBBC72</t>
  </si>
  <si>
    <t>PJBUGTDBBC73</t>
  </si>
  <si>
    <t>PJBUGTDBBC74</t>
  </si>
  <si>
    <t>PJBUGTDBBC75</t>
  </si>
  <si>
    <t>PJBUGTDBBC76</t>
  </si>
  <si>
    <t>PJBUGTDBBC77</t>
  </si>
  <si>
    <t>PJBUGTDBBC78</t>
  </si>
  <si>
    <t>PJBUGTDBBC79</t>
  </si>
  <si>
    <t>PJBUGTDBBC80</t>
  </si>
  <si>
    <t>PJBUGTDBBC81</t>
  </si>
  <si>
    <t>PJBUGBDABC82</t>
  </si>
  <si>
    <t>PJBUGBDBMS83</t>
  </si>
  <si>
    <t>PVA9GTDABC1</t>
  </si>
  <si>
    <t>PVA9GTDABC2</t>
  </si>
  <si>
    <t>PVA9GTDABC3</t>
  </si>
  <si>
    <t>PVA9GTDABC4</t>
  </si>
  <si>
    <t>PVA9GTDABC5</t>
  </si>
  <si>
    <t>PVA9GTDABC6</t>
  </si>
  <si>
    <t>PVA9GTDABC7</t>
  </si>
  <si>
    <t>PVA9GTDABC8</t>
  </si>
  <si>
    <t>PVA9GTDABC9</t>
  </si>
  <si>
    <t>PVA9GTDABC10</t>
  </si>
  <si>
    <t>PVA9GTDABC11</t>
  </si>
  <si>
    <t>PVA9GTDABC12</t>
  </si>
  <si>
    <t>PVA9GTDABC13</t>
  </si>
  <si>
    <t>PVA9GTDABC14</t>
  </si>
  <si>
    <t>PVA9GTDABC15</t>
  </si>
  <si>
    <t>PVA9GTDABC16</t>
  </si>
  <si>
    <t>PVA9GTDABC17</t>
  </si>
  <si>
    <t>PVA9GTDABC18</t>
  </si>
  <si>
    <t>PVA9GTDABC19</t>
  </si>
  <si>
    <t>PVA9GTDABC20</t>
  </si>
  <si>
    <t>PVA9GTDABC21</t>
  </si>
  <si>
    <t>PVA9GTDABC22</t>
  </si>
  <si>
    <t>PVA9GTDABC23</t>
  </si>
  <si>
    <t>PVA9GTDABC24</t>
  </si>
  <si>
    <t>PVA9GTDABC25</t>
  </si>
  <si>
    <t>PVA9GTDABC26</t>
  </si>
  <si>
    <t>PVA9GTDABC27</t>
  </si>
  <si>
    <t>PVA9GTDABC28</t>
  </si>
  <si>
    <t>PVA9GTDABC29</t>
  </si>
  <si>
    <t>PVA9GTDABC30</t>
  </si>
  <si>
    <t>PVA9GTDABC31</t>
  </si>
  <si>
    <t>PVA9GTDABC32</t>
  </si>
  <si>
    <t>PVA9GTDABC33</t>
  </si>
  <si>
    <t>PVA9GTDABC34</t>
  </si>
  <si>
    <t>PVA9GTDABC35</t>
  </si>
  <si>
    <t>PVA9GTDABC36</t>
  </si>
  <si>
    <t>PVA9GTDABC37</t>
  </si>
  <si>
    <t>PVA9GTDABC38</t>
  </si>
  <si>
    <t>PVA9GTDABC39</t>
  </si>
  <si>
    <t>PVA9GTDABC40</t>
  </si>
  <si>
    <t>PVA9GTDABC41</t>
  </si>
  <si>
    <t>PVA9GTDABC42</t>
  </si>
  <si>
    <t>PVA9GTDABC43</t>
  </si>
  <si>
    <t>PVA9GTDABC44</t>
  </si>
  <si>
    <t>PVA9GTDABC45</t>
  </si>
  <si>
    <t>PVA9GTDABC46</t>
  </si>
  <si>
    <t>PVA9GTDABC47</t>
  </si>
  <si>
    <t>PVA9GTDABC48</t>
  </si>
  <si>
    <t>PVA9GTDABC49</t>
  </si>
  <si>
    <t>PVA9GTDABC50</t>
  </si>
  <si>
    <t>PVA9GTDABC51</t>
  </si>
  <si>
    <t>PVA9GTDABC52</t>
  </si>
  <si>
    <t>PVA9GTDABC53</t>
  </si>
  <si>
    <t>PVA9GTDABC54</t>
  </si>
  <si>
    <t>PVA9GTDABC55</t>
  </si>
  <si>
    <t>PVA9GTDABC56</t>
  </si>
  <si>
    <t>PVA9GTDABC57</t>
  </si>
  <si>
    <t>PVA9GTDABC58</t>
  </si>
  <si>
    <t>PVA9GTDABC59</t>
  </si>
  <si>
    <t>PVA9GTDABC60</t>
  </si>
  <si>
    <t>PVA9GTDABC61</t>
  </si>
  <si>
    <t>PVA9GTDABC62</t>
  </si>
  <si>
    <t>PVA9GTDBBC63</t>
  </si>
  <si>
    <t>PVA9GTDBBC64</t>
  </si>
  <si>
    <t>PVA9GTDBBC65</t>
  </si>
  <si>
    <t>PVA9GTDBBC66</t>
  </si>
  <si>
    <t>PVA9GTDBBC67</t>
  </si>
  <si>
    <t>PVA9GTDBBC68</t>
  </si>
  <si>
    <t>PVA9GTDBBC69</t>
  </si>
  <si>
    <t>PVA9GTDBBC70</t>
  </si>
  <si>
    <t>PVA9GTDBBC71</t>
  </si>
  <si>
    <t>PVA9GTDBBC72</t>
  </si>
  <si>
    <t>PVA9GTDBBC73</t>
  </si>
  <si>
    <t>PVA9GTDBBC74</t>
  </si>
  <si>
    <t>PVA9GTDBBC75</t>
  </si>
  <si>
    <t>PVA9GTDBBC76</t>
  </si>
  <si>
    <t>PVA9GTDBBC77</t>
  </si>
  <si>
    <t>PVA9GBDABC78</t>
  </si>
  <si>
    <t>PVA9GBDBMS79</t>
  </si>
  <si>
    <t>PIA9</t>
  </si>
  <si>
    <t>PJBU</t>
  </si>
  <si>
    <t>PVA9</t>
  </si>
  <si>
    <t>P856GDDBBC46</t>
  </si>
  <si>
    <t>P856GDDBBC48</t>
  </si>
  <si>
    <t>P856GDDBBC54</t>
  </si>
  <si>
    <t>P856GDDBBC57</t>
  </si>
  <si>
    <t>P856GDDBBC58</t>
  </si>
  <si>
    <t>P856GDDBBC59</t>
  </si>
  <si>
    <t>P856GDDBBC60</t>
  </si>
  <si>
    <t>P856GDDBBC61</t>
  </si>
  <si>
    <t>P856GDDBBC62</t>
  </si>
  <si>
    <t>P856GDDBBC63</t>
  </si>
  <si>
    <t>P856GDDBBC64</t>
  </si>
  <si>
    <t>P856GDDUBC32</t>
  </si>
  <si>
    <t>P856GDDUBC33</t>
  </si>
  <si>
    <t>P856GDDUBC34</t>
  </si>
  <si>
    <t>P856GDDUBC40</t>
  </si>
  <si>
    <t>P856GDDUBC41</t>
  </si>
  <si>
    <t>P856GDDUBC42</t>
  </si>
  <si>
    <t>P856GDDUBC43</t>
  </si>
  <si>
    <t>P856GDDUBC44</t>
  </si>
  <si>
    <t>P856GDDUBC45</t>
  </si>
  <si>
    <t>v2.0</t>
  </si>
  <si>
    <t>PRN4GBDLBC72</t>
  </si>
  <si>
    <t>PRN4GPDBBC07</t>
  </si>
  <si>
    <t>PRN4GPDLBC05</t>
  </si>
  <si>
    <t>PRN4GPDLBC09</t>
  </si>
  <si>
    <t>PRN4GPDLBC10</t>
  </si>
  <si>
    <t>PRN4GPDLBC11</t>
  </si>
  <si>
    <t>PRN4GPDLBC12</t>
  </si>
  <si>
    <t>PRN4GPDLBC15</t>
  </si>
  <si>
    <t>PRN4GPDLBC16</t>
  </si>
  <si>
    <t>PRN4GPDLBC17</t>
  </si>
  <si>
    <t>PRN4GPDLBC19</t>
  </si>
  <si>
    <t>PRN4GPDLBC20</t>
  </si>
  <si>
    <t>PRN4GPDLBC21</t>
  </si>
  <si>
    <t>PRN4GPDLBC22</t>
  </si>
  <si>
    <t>PRN4GPDLBC23</t>
  </si>
  <si>
    <t>bulk_tumour</t>
  </si>
  <si>
    <t>bulk_msc</t>
  </si>
  <si>
    <t>CNV</t>
  </si>
  <si>
    <t>BAF</t>
  </si>
  <si>
    <t>Good</t>
  </si>
  <si>
    <t>Intermediate</t>
  </si>
  <si>
    <t>Bad</t>
  </si>
  <si>
    <t xml:space="preserve">Bad  </t>
  </si>
  <si>
    <t>N/a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</si>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</sst>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yyyy\-mm\-dd;@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3" fillId="0" borderId="0" xfId="1" applyFont="1" applyFill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2BA5-733B-FC49-A2B2-17B2B6C5E9F6}">
  <dimension ref="A1:U361"/>
  <sheetViews>
    <sheetView tabSelected="1" zoomScale="106" zoomScaleNormal="50" workbookViewId="0">
      <pane xSplit="4" ySplit="1" topLeftCell="N2" activePane="bottomRight" state="frozen"/>
      <selection pane="topRight" activeCell="G1" sqref="G1"/>
      <selection pane="bottomLeft" activeCell="A2" sqref="A2"/>
      <selection pane="bottomRight" activeCell="Q9" sqref="Q9"/>
    </sheetView>
  </sheetViews>
  <sheetFormatPr baseColWidth="10" defaultRowHeight="16" x14ac:dyDescent="0.2"/>
  <cols>
    <col min="1" max="1" width="27" style="1" bestFit="1" customWidth="1"/>
    <col min="2" max="2" width="14.6640625" style="1" bestFit="1" customWidth="1"/>
    <col min="3" max="3" width="19" style="1" bestFit="1" customWidth="1"/>
    <col min="4" max="4" width="21.6640625" style="1" bestFit="1" customWidth="1"/>
    <col min="5" max="5" width="25.33203125" style="1" bestFit="1" customWidth="1"/>
    <col min="6" max="6" width="18.33203125" style="1" bestFit="1" customWidth="1"/>
    <col min="7" max="7" width="22.6640625" style="1" bestFit="1" customWidth="1"/>
    <col min="8" max="8" width="27.1640625" style="1" bestFit="1" customWidth="1"/>
    <col min="9" max="9" width="16.33203125" style="2" bestFit="1" customWidth="1"/>
    <col min="10" max="10" width="16.6640625" style="2" bestFit="1" customWidth="1"/>
    <col min="11" max="11" width="24" style="1" bestFit="1" customWidth="1"/>
    <col min="12" max="12" width="11.5" style="1" bestFit="1" customWidth="1"/>
    <col min="13" max="13" width="25.6640625" style="1" bestFit="1" customWidth="1"/>
    <col min="14" max="16" width="25.6640625" style="1" customWidth="1"/>
    <col min="17" max="18" width="27.83203125" style="1" bestFit="1" customWidth="1"/>
    <col min="19" max="19" width="21.1640625" style="1" bestFit="1" customWidth="1"/>
    <col min="20" max="20" width="19.33203125" style="1" bestFit="1" customWidth="1"/>
    <col min="21" max="21" width="22.1640625" style="1" bestFit="1" customWidth="1"/>
    <col min="22" max="16384" width="10.83203125" style="1"/>
  </cols>
  <sheetData>
    <row r="1" spans="1:21" s="10" customFormat="1" x14ac:dyDescent="0.2">
      <c r="A1" s="10" t="s">
        <v>0</v>
      </c>
      <c r="B1" s="10" t="s">
        <v>88</v>
      </c>
      <c r="C1" s="10" t="s">
        <v>89</v>
      </c>
      <c r="D1" s="10" t="s">
        <v>5</v>
      </c>
      <c r="E1" s="10" t="s">
        <v>98</v>
      </c>
      <c r="F1" s="10" t="s">
        <v>1</v>
      </c>
      <c r="G1" s="10" t="s">
        <v>94</v>
      </c>
      <c r="H1" s="10" t="s">
        <v>33</v>
      </c>
      <c r="I1" s="11" t="s">
        <v>96</v>
      </c>
      <c r="J1" s="11" t="s">
        <v>97</v>
      </c>
      <c r="K1" s="10" t="s">
        <v>95</v>
      </c>
      <c r="L1" s="10" t="s">
        <v>2</v>
      </c>
      <c r="M1" s="10" t="s">
        <v>35</v>
      </c>
      <c r="N1" s="10" t="s">
        <v>388</v>
      </c>
      <c r="O1" s="10" t="s">
        <v>389</v>
      </c>
      <c r="P1" s="10" t="s">
        <v>93</v>
      </c>
      <c r="Q1" s="10" t="s">
        <v>3</v>
      </c>
      <c r="R1" s="10" t="s">
        <v>4</v>
      </c>
      <c r="S1" s="10" t="s">
        <v>37</v>
      </c>
      <c r="T1" s="10" t="s">
        <v>6</v>
      </c>
      <c r="U1" s="10" t="s">
        <v>87</v>
      </c>
    </row>
    <row r="2" spans="1:21" x14ac:dyDescent="0.2">
      <c r="A2" s="1" t="s">
        <v>7</v>
      </c>
      <c r="B2" s="1" t="s">
        <v>29</v>
      </c>
      <c r="C2" s="1" t="s">
        <v>90</v>
      </c>
      <c r="D2" s="1" t="s">
        <v>30</v>
      </c>
      <c r="E2" s="1" t="s">
        <v>99</v>
      </c>
      <c r="F2" s="1" t="s">
        <v>31</v>
      </c>
      <c r="G2" s="2">
        <v>43837</v>
      </c>
      <c r="H2" s="3">
        <v>0.88</v>
      </c>
      <c r="I2" s="4">
        <v>42339</v>
      </c>
      <c r="J2" s="4" t="s">
        <v>55</v>
      </c>
      <c r="K2" s="5">
        <v>4.0999999999999996</v>
      </c>
      <c r="L2" s="1" t="s">
        <v>34</v>
      </c>
      <c r="M2" s="1" t="s">
        <v>36</v>
      </c>
      <c r="N2" s="1" t="s">
        <v>392</v>
      </c>
      <c r="O2" s="1" t="s">
        <v>390</v>
      </c>
      <c r="P2" s="1" t="s">
        <v>396</v>
      </c>
      <c r="Q2">
        <v>0.96931999999999996</v>
      </c>
      <c r="R2">
        <v>0.93485399999999996</v>
      </c>
      <c r="S2" s="16">
        <v>18.546385000000001</v>
      </c>
      <c r="T2" s="14">
        <v>2382265274</v>
      </c>
      <c r="U2" s="13">
        <f>T2/2745186691</f>
        <v>0.86779718181287069</v>
      </c>
    </row>
    <row r="3" spans="1:21" x14ac:dyDescent="0.2">
      <c r="A3" s="1" t="s">
        <v>8</v>
      </c>
      <c r="B3" s="1" t="s">
        <v>29</v>
      </c>
      <c r="C3" s="1" t="s">
        <v>90</v>
      </c>
      <c r="D3" s="1" t="s">
        <v>30</v>
      </c>
      <c r="E3" s="1" t="s">
        <v>99</v>
      </c>
      <c r="F3" s="1" t="s">
        <v>31</v>
      </c>
      <c r="G3" s="2">
        <v>43837</v>
      </c>
      <c r="H3" s="3">
        <v>0.88</v>
      </c>
      <c r="I3" s="4">
        <v>42339</v>
      </c>
      <c r="J3" s="4" t="s">
        <v>55</v>
      </c>
      <c r="K3" s="5">
        <v>4.0999999999999996</v>
      </c>
      <c r="L3" s="1" t="s">
        <v>34</v>
      </c>
      <c r="M3" s="1" t="s">
        <v>36</v>
      </c>
      <c r="N3" s="1" t="s">
        <v>392</v>
      </c>
      <c r="O3" s="1" t="s">
        <v>390</v>
      </c>
      <c r="P3" s="1" t="s">
        <v>396</v>
      </c>
      <c r="Q3">
        <v>0.96787500000000004</v>
      </c>
      <c r="R3">
        <v>0.93928199999999995</v>
      </c>
      <c r="S3" s="16">
        <v>21.393426999999999</v>
      </c>
      <c r="T3" s="14">
        <v>2429729351</v>
      </c>
      <c r="U3" s="13">
        <f t="shared" ref="U3:U66" si="0">T3/2745186691</f>
        <v>0.88508710863482765</v>
      </c>
    </row>
    <row r="4" spans="1:21" x14ac:dyDescent="0.2">
      <c r="A4" s="1" t="s">
        <v>9</v>
      </c>
      <c r="B4" s="1" t="s">
        <v>29</v>
      </c>
      <c r="C4" s="1" t="s">
        <v>90</v>
      </c>
      <c r="D4" s="1" t="s">
        <v>30</v>
      </c>
      <c r="E4" s="1" t="s">
        <v>99</v>
      </c>
      <c r="F4" s="1" t="s">
        <v>31</v>
      </c>
      <c r="G4" s="2">
        <v>43837</v>
      </c>
      <c r="H4" s="3">
        <v>0.88</v>
      </c>
      <c r="I4" s="4">
        <v>42339</v>
      </c>
      <c r="J4" s="4" t="s">
        <v>55</v>
      </c>
      <c r="K4" s="5">
        <v>4.0999999999999996</v>
      </c>
      <c r="L4" s="1" t="s">
        <v>34</v>
      </c>
      <c r="M4" s="1" t="s">
        <v>36</v>
      </c>
      <c r="N4" s="1" t="s">
        <v>391</v>
      </c>
      <c r="O4" s="1" t="s">
        <v>390</v>
      </c>
      <c r="P4" s="1" t="s">
        <v>396</v>
      </c>
      <c r="Q4">
        <v>0.96477800000000002</v>
      </c>
      <c r="R4">
        <v>0.913184</v>
      </c>
      <c r="S4" s="16">
        <v>14.927789000000001</v>
      </c>
      <c r="T4" s="14">
        <v>2273742795</v>
      </c>
      <c r="U4" s="13">
        <f t="shared" si="0"/>
        <v>0.8282652697007411</v>
      </c>
    </row>
    <row r="5" spans="1:21" x14ac:dyDescent="0.2">
      <c r="A5" s="1" t="s">
        <v>10</v>
      </c>
      <c r="B5" s="1" t="s">
        <v>29</v>
      </c>
      <c r="C5" s="1" t="s">
        <v>90</v>
      </c>
      <c r="D5" s="1" t="s">
        <v>30</v>
      </c>
      <c r="E5" s="1" t="s">
        <v>99</v>
      </c>
      <c r="F5" s="1" t="s">
        <v>31</v>
      </c>
      <c r="G5" s="2">
        <v>43837</v>
      </c>
      <c r="H5" s="3">
        <v>0.88</v>
      </c>
      <c r="I5" s="4">
        <v>42339</v>
      </c>
      <c r="J5" s="4" t="s">
        <v>55</v>
      </c>
      <c r="K5" s="5">
        <v>4.0999999999999996</v>
      </c>
      <c r="L5" s="1" t="s">
        <v>34</v>
      </c>
      <c r="M5" s="1" t="s">
        <v>36</v>
      </c>
      <c r="N5" s="1" t="s">
        <v>391</v>
      </c>
      <c r="O5" s="1" t="s">
        <v>390</v>
      </c>
      <c r="P5" s="1" t="s">
        <v>396</v>
      </c>
      <c r="Q5">
        <v>0.96694400000000003</v>
      </c>
      <c r="R5">
        <v>0.94469899999999996</v>
      </c>
      <c r="S5" s="16">
        <v>20.61722</v>
      </c>
      <c r="T5" s="14">
        <v>2471367600</v>
      </c>
      <c r="U5" s="13">
        <f t="shared" si="0"/>
        <v>0.9002548380779688</v>
      </c>
    </row>
    <row r="6" spans="1:21" x14ac:dyDescent="0.2">
      <c r="A6" s="1" t="s">
        <v>11</v>
      </c>
      <c r="B6" s="1" t="s">
        <v>29</v>
      </c>
      <c r="C6" s="1" t="s">
        <v>90</v>
      </c>
      <c r="D6" s="1" t="s">
        <v>30</v>
      </c>
      <c r="E6" s="1" t="s">
        <v>99</v>
      </c>
      <c r="F6" s="1" t="s">
        <v>31</v>
      </c>
      <c r="G6" s="2">
        <v>43837</v>
      </c>
      <c r="H6" s="3">
        <v>0.88</v>
      </c>
      <c r="I6" s="4">
        <v>42339</v>
      </c>
      <c r="J6" s="4" t="s">
        <v>55</v>
      </c>
      <c r="K6" s="5">
        <v>4.0999999999999996</v>
      </c>
      <c r="L6" s="1" t="s">
        <v>34</v>
      </c>
      <c r="M6" s="1" t="s">
        <v>36</v>
      </c>
      <c r="N6" s="1" t="s">
        <v>390</v>
      </c>
      <c r="O6" s="1" t="s">
        <v>390</v>
      </c>
      <c r="P6" s="1" t="s">
        <v>396</v>
      </c>
      <c r="Q6">
        <v>0.96855199999999997</v>
      </c>
      <c r="R6">
        <v>0.94293800000000005</v>
      </c>
      <c r="S6" s="16">
        <v>19.537398</v>
      </c>
      <c r="T6" s="14">
        <v>2460969547</v>
      </c>
      <c r="U6" s="13">
        <f t="shared" si="0"/>
        <v>0.89646709823714499</v>
      </c>
    </row>
    <row r="7" spans="1:21" x14ac:dyDescent="0.2">
      <c r="A7" s="1" t="s">
        <v>12</v>
      </c>
      <c r="B7" s="1" t="s">
        <v>29</v>
      </c>
      <c r="C7" s="1" t="s">
        <v>90</v>
      </c>
      <c r="D7" s="1" t="s">
        <v>30</v>
      </c>
      <c r="E7" s="1" t="s">
        <v>99</v>
      </c>
      <c r="F7" s="1" t="s">
        <v>31</v>
      </c>
      <c r="G7" s="2">
        <v>43837</v>
      </c>
      <c r="H7" s="3">
        <v>0.88</v>
      </c>
      <c r="I7" s="4">
        <v>42339</v>
      </c>
      <c r="J7" s="4" t="s">
        <v>55</v>
      </c>
      <c r="K7" s="5">
        <v>4.0999999999999996</v>
      </c>
      <c r="L7" s="1" t="s">
        <v>34</v>
      </c>
      <c r="M7" s="1" t="s">
        <v>36</v>
      </c>
      <c r="N7" s="1" t="s">
        <v>392</v>
      </c>
      <c r="O7" s="1" t="s">
        <v>391</v>
      </c>
      <c r="P7" s="1" t="s">
        <v>396</v>
      </c>
      <c r="Q7">
        <v>0.96821299999999999</v>
      </c>
      <c r="R7">
        <v>0.92461099999999996</v>
      </c>
      <c r="S7" s="16">
        <v>18.088228000000001</v>
      </c>
      <c r="T7" s="14">
        <v>2344170295</v>
      </c>
      <c r="U7" s="13">
        <f t="shared" si="0"/>
        <v>0.85392017332929726</v>
      </c>
    </row>
    <row r="8" spans="1:21" x14ac:dyDescent="0.2">
      <c r="A8" s="1" t="s">
        <v>13</v>
      </c>
      <c r="B8" s="1" t="s">
        <v>29</v>
      </c>
      <c r="C8" s="1" t="s">
        <v>90</v>
      </c>
      <c r="D8" s="1" t="s">
        <v>30</v>
      </c>
      <c r="E8" s="1" t="s">
        <v>99</v>
      </c>
      <c r="F8" s="1" t="s">
        <v>31</v>
      </c>
      <c r="G8" s="2">
        <v>43837</v>
      </c>
      <c r="H8" s="3">
        <v>0.88</v>
      </c>
      <c r="I8" s="4">
        <v>42339</v>
      </c>
      <c r="J8" s="4" t="s">
        <v>55</v>
      </c>
      <c r="K8" s="5">
        <v>4.0999999999999996</v>
      </c>
      <c r="L8" s="1" t="s">
        <v>34</v>
      </c>
      <c r="M8" s="1" t="s">
        <v>36</v>
      </c>
      <c r="N8" s="1" t="s">
        <v>390</v>
      </c>
      <c r="O8" s="1" t="s">
        <v>390</v>
      </c>
      <c r="P8" s="1" t="s">
        <v>396</v>
      </c>
      <c r="Q8">
        <v>0.96759300000000004</v>
      </c>
      <c r="R8">
        <v>0.93149000000000004</v>
      </c>
      <c r="S8" s="16">
        <v>15.719956</v>
      </c>
      <c r="T8" s="14">
        <v>2358976325</v>
      </c>
      <c r="U8" s="13">
        <f t="shared" si="0"/>
        <v>0.85931362436435477</v>
      </c>
    </row>
    <row r="9" spans="1:21" x14ac:dyDescent="0.2">
      <c r="A9" s="1" t="s">
        <v>14</v>
      </c>
      <c r="B9" s="1" t="s">
        <v>29</v>
      </c>
      <c r="C9" s="1" t="s">
        <v>90</v>
      </c>
      <c r="D9" s="1" t="s">
        <v>30</v>
      </c>
      <c r="E9" s="1" t="s">
        <v>99</v>
      </c>
      <c r="F9" s="1" t="s">
        <v>31</v>
      </c>
      <c r="G9" s="2">
        <v>43837</v>
      </c>
      <c r="H9" s="3">
        <v>0.88</v>
      </c>
      <c r="I9" s="4">
        <v>42339</v>
      </c>
      <c r="J9" s="4" t="s">
        <v>55</v>
      </c>
      <c r="K9" s="5">
        <v>4.0999999999999996</v>
      </c>
      <c r="L9" s="1" t="s">
        <v>34</v>
      </c>
      <c r="M9" s="1" t="s">
        <v>36</v>
      </c>
      <c r="N9" s="1" t="s">
        <v>392</v>
      </c>
      <c r="O9" s="1" t="s">
        <v>390</v>
      </c>
      <c r="P9" s="1" t="s">
        <v>396</v>
      </c>
      <c r="Q9">
        <v>0.96758</v>
      </c>
      <c r="R9">
        <v>0.91288599999999998</v>
      </c>
      <c r="S9" s="16">
        <v>15.109655</v>
      </c>
      <c r="T9" s="14">
        <v>2226569422</v>
      </c>
      <c r="U9" s="13">
        <f t="shared" si="0"/>
        <v>0.81108123877320659</v>
      </c>
    </row>
    <row r="10" spans="1:21" ht="17" customHeight="1" x14ac:dyDescent="0.2">
      <c r="A10" s="1" t="s">
        <v>16</v>
      </c>
      <c r="B10" s="1" t="s">
        <v>29</v>
      </c>
      <c r="C10" s="1" t="s">
        <v>90</v>
      </c>
      <c r="D10" s="1" t="s">
        <v>30</v>
      </c>
      <c r="E10" s="1" t="s">
        <v>99</v>
      </c>
      <c r="F10" s="1" t="s">
        <v>32</v>
      </c>
      <c r="G10" s="2">
        <v>43837</v>
      </c>
      <c r="H10" s="3">
        <v>0.68</v>
      </c>
      <c r="I10" s="4">
        <v>42339</v>
      </c>
      <c r="J10" s="4" t="s">
        <v>55</v>
      </c>
      <c r="K10" s="5">
        <v>4.0999999999999996</v>
      </c>
      <c r="L10" s="1" t="s">
        <v>34</v>
      </c>
      <c r="M10" s="1" t="s">
        <v>36</v>
      </c>
      <c r="N10" s="1" t="s">
        <v>390</v>
      </c>
      <c r="O10" s="1" t="s">
        <v>390</v>
      </c>
      <c r="P10" s="1" t="s">
        <v>396</v>
      </c>
      <c r="Q10">
        <v>0.96616299999999999</v>
      </c>
      <c r="R10">
        <v>0.91899600000000004</v>
      </c>
      <c r="S10" s="16">
        <v>13.146393</v>
      </c>
      <c r="T10" s="14">
        <v>2256669463</v>
      </c>
      <c r="U10" s="13">
        <f t="shared" si="0"/>
        <v>0.82204589960982</v>
      </c>
    </row>
    <row r="11" spans="1:21" x14ac:dyDescent="0.2">
      <c r="A11" s="1" t="s">
        <v>17</v>
      </c>
      <c r="B11" s="1" t="s">
        <v>29</v>
      </c>
      <c r="C11" s="1" t="s">
        <v>90</v>
      </c>
      <c r="D11" s="1" t="s">
        <v>30</v>
      </c>
      <c r="E11" s="1" t="s">
        <v>99</v>
      </c>
      <c r="F11" s="1" t="s">
        <v>32</v>
      </c>
      <c r="G11" s="2">
        <v>43837</v>
      </c>
      <c r="H11" s="3">
        <v>0.68</v>
      </c>
      <c r="I11" s="4">
        <v>42339</v>
      </c>
      <c r="J11" s="4" t="s">
        <v>55</v>
      </c>
      <c r="K11" s="5">
        <v>4.0999999999999996</v>
      </c>
      <c r="L11" s="1" t="s">
        <v>34</v>
      </c>
      <c r="M11" s="1" t="s">
        <v>36</v>
      </c>
      <c r="N11" s="1" t="s">
        <v>390</v>
      </c>
      <c r="O11" s="1" t="s">
        <v>390</v>
      </c>
      <c r="P11" s="1" t="s">
        <v>395</v>
      </c>
      <c r="Q11">
        <v>0.96828599999999998</v>
      </c>
      <c r="R11">
        <v>0.91800300000000001</v>
      </c>
      <c r="S11" s="16">
        <v>13.881888999999999</v>
      </c>
      <c r="T11" s="14">
        <v>2264135273</v>
      </c>
      <c r="U11" s="13">
        <f t="shared" si="0"/>
        <v>0.82476549971005231</v>
      </c>
    </row>
    <row r="12" spans="1:21" x14ac:dyDescent="0.2">
      <c r="A12" s="7" t="s">
        <v>18</v>
      </c>
      <c r="B12" s="1" t="s">
        <v>29</v>
      </c>
      <c r="C12" s="1" t="s">
        <v>90</v>
      </c>
      <c r="D12" s="1" t="s">
        <v>30</v>
      </c>
      <c r="E12" s="1" t="s">
        <v>99</v>
      </c>
      <c r="F12" s="1" t="s">
        <v>32</v>
      </c>
      <c r="G12" s="2">
        <v>43837</v>
      </c>
      <c r="H12" s="3">
        <v>0.68</v>
      </c>
      <c r="I12" s="4">
        <v>42339</v>
      </c>
      <c r="J12" s="4" t="s">
        <v>55</v>
      </c>
      <c r="K12" s="5">
        <v>4.0999999999999996</v>
      </c>
      <c r="L12" s="1" t="s">
        <v>34</v>
      </c>
      <c r="M12" s="1" t="s">
        <v>36</v>
      </c>
      <c r="N12" s="1" t="s">
        <v>390</v>
      </c>
      <c r="O12" s="1" t="s">
        <v>390</v>
      </c>
      <c r="P12" s="1" t="s">
        <v>396</v>
      </c>
      <c r="Q12">
        <v>0.96513800000000005</v>
      </c>
      <c r="R12">
        <v>0.88799399999999995</v>
      </c>
      <c r="S12" s="16">
        <v>12.794494</v>
      </c>
      <c r="T12" s="14">
        <v>2110761189</v>
      </c>
      <c r="U12" s="13">
        <f t="shared" si="0"/>
        <v>0.76889531627122409</v>
      </c>
    </row>
    <row r="13" spans="1:21" x14ac:dyDescent="0.2">
      <c r="A13" s="7" t="s">
        <v>19</v>
      </c>
      <c r="B13" s="1" t="s">
        <v>29</v>
      </c>
      <c r="C13" s="1" t="s">
        <v>90</v>
      </c>
      <c r="D13" s="1" t="s">
        <v>30</v>
      </c>
      <c r="E13" s="1" t="s">
        <v>99</v>
      </c>
      <c r="F13" s="1" t="s">
        <v>32</v>
      </c>
      <c r="G13" s="2">
        <v>43837</v>
      </c>
      <c r="H13" s="3">
        <v>0.68</v>
      </c>
      <c r="I13" s="4">
        <v>42339</v>
      </c>
      <c r="J13" s="4" t="s">
        <v>55</v>
      </c>
      <c r="K13" s="5">
        <v>4.0999999999999996</v>
      </c>
      <c r="L13" s="1" t="s">
        <v>34</v>
      </c>
      <c r="M13" s="1" t="s">
        <v>36</v>
      </c>
      <c r="N13" s="1" t="s">
        <v>391</v>
      </c>
      <c r="O13" s="1" t="s">
        <v>391</v>
      </c>
      <c r="P13" s="1" t="s">
        <v>395</v>
      </c>
      <c r="Q13">
        <v>0.94912600000000003</v>
      </c>
      <c r="R13">
        <v>0.85459399999999996</v>
      </c>
      <c r="S13" s="16">
        <v>13.603052999999999</v>
      </c>
      <c r="T13" s="14">
        <v>2032531729</v>
      </c>
      <c r="U13" s="13">
        <f t="shared" si="0"/>
        <v>0.74039836185407182</v>
      </c>
    </row>
    <row r="14" spans="1:21" x14ac:dyDescent="0.2">
      <c r="A14" s="7" t="s">
        <v>20</v>
      </c>
      <c r="B14" s="1" t="s">
        <v>29</v>
      </c>
      <c r="C14" s="1" t="s">
        <v>90</v>
      </c>
      <c r="D14" s="1" t="s">
        <v>30</v>
      </c>
      <c r="E14" s="1" t="s">
        <v>99</v>
      </c>
      <c r="F14" s="1" t="s">
        <v>32</v>
      </c>
      <c r="G14" s="2">
        <v>43837</v>
      </c>
      <c r="H14" s="3">
        <v>0.68</v>
      </c>
      <c r="I14" s="4">
        <v>42339</v>
      </c>
      <c r="J14" s="4" t="s">
        <v>55</v>
      </c>
      <c r="K14" s="5">
        <v>4.0999999999999996</v>
      </c>
      <c r="L14" s="1" t="s">
        <v>34</v>
      </c>
      <c r="M14" s="1" t="s">
        <v>36</v>
      </c>
      <c r="N14" s="1" t="s">
        <v>390</v>
      </c>
      <c r="O14" s="1" t="s">
        <v>390</v>
      </c>
      <c r="P14" s="1" t="s">
        <v>396</v>
      </c>
      <c r="Q14">
        <v>0.96893099999999999</v>
      </c>
      <c r="R14">
        <v>0.93233600000000005</v>
      </c>
      <c r="S14" s="16">
        <v>15.477193</v>
      </c>
      <c r="T14" s="14">
        <v>2365930766</v>
      </c>
      <c r="U14" s="13">
        <f t="shared" si="0"/>
        <v>0.86184694605894108</v>
      </c>
    </row>
    <row r="15" spans="1:21" x14ac:dyDescent="0.2">
      <c r="A15" s="7" t="s">
        <v>21</v>
      </c>
      <c r="B15" s="1" t="s">
        <v>29</v>
      </c>
      <c r="C15" s="1" t="s">
        <v>90</v>
      </c>
      <c r="D15" s="1" t="s">
        <v>30</v>
      </c>
      <c r="E15" s="1" t="s">
        <v>99</v>
      </c>
      <c r="F15" s="1" t="s">
        <v>32</v>
      </c>
      <c r="G15" s="2">
        <v>43837</v>
      </c>
      <c r="H15" s="3">
        <v>0.68</v>
      </c>
      <c r="I15" s="4">
        <v>42339</v>
      </c>
      <c r="J15" s="4" t="s">
        <v>55</v>
      </c>
      <c r="K15" s="5">
        <v>4.0999999999999996</v>
      </c>
      <c r="L15" s="1" t="s">
        <v>34</v>
      </c>
      <c r="M15" s="1" t="s">
        <v>36</v>
      </c>
      <c r="N15" s="1" t="s">
        <v>390</v>
      </c>
      <c r="O15" s="1" t="s">
        <v>391</v>
      </c>
      <c r="P15" s="1" t="s">
        <v>396</v>
      </c>
      <c r="Q15">
        <v>0.93307300000000004</v>
      </c>
      <c r="R15">
        <v>0.790744</v>
      </c>
      <c r="S15" s="16">
        <v>11.860435000000001</v>
      </c>
      <c r="T15" s="14">
        <v>1786040209</v>
      </c>
      <c r="U15" s="13">
        <f t="shared" si="0"/>
        <v>0.6506079221699097</v>
      </c>
    </row>
    <row r="16" spans="1:21" x14ac:dyDescent="0.2">
      <c r="A16" s="7" t="s">
        <v>22</v>
      </c>
      <c r="B16" s="1" t="s">
        <v>29</v>
      </c>
      <c r="C16" s="1" t="s">
        <v>90</v>
      </c>
      <c r="D16" s="1" t="s">
        <v>30</v>
      </c>
      <c r="E16" s="1" t="s">
        <v>99</v>
      </c>
      <c r="F16" s="1" t="s">
        <v>32</v>
      </c>
      <c r="G16" s="2">
        <v>43837</v>
      </c>
      <c r="H16" s="3">
        <v>0.68</v>
      </c>
      <c r="I16" s="4">
        <v>42339</v>
      </c>
      <c r="J16" s="4" t="s">
        <v>55</v>
      </c>
      <c r="K16" s="5">
        <v>4.0999999999999996</v>
      </c>
      <c r="L16" s="1" t="s">
        <v>34</v>
      </c>
      <c r="M16" s="1" t="s">
        <v>36</v>
      </c>
      <c r="N16" s="1" t="s">
        <v>390</v>
      </c>
      <c r="O16" s="1" t="s">
        <v>390</v>
      </c>
      <c r="P16" s="1" t="s">
        <v>396</v>
      </c>
      <c r="Q16">
        <v>0.95535000000000003</v>
      </c>
      <c r="R16">
        <v>0.80089200000000005</v>
      </c>
      <c r="S16" s="16">
        <v>11.52103</v>
      </c>
      <c r="T16" s="14">
        <v>1759474788</v>
      </c>
      <c r="U16" s="13">
        <f t="shared" si="0"/>
        <v>0.64093083132319473</v>
      </c>
    </row>
    <row r="17" spans="1:21" x14ac:dyDescent="0.2">
      <c r="A17" s="7" t="s">
        <v>23</v>
      </c>
      <c r="B17" s="1" t="s">
        <v>29</v>
      </c>
      <c r="C17" s="1" t="s">
        <v>90</v>
      </c>
      <c r="D17" s="1" t="s">
        <v>30</v>
      </c>
      <c r="E17" s="1" t="s">
        <v>99</v>
      </c>
      <c r="F17" s="1" t="s">
        <v>32</v>
      </c>
      <c r="G17" s="2">
        <v>43837</v>
      </c>
      <c r="H17" s="3">
        <v>0.68</v>
      </c>
      <c r="I17" s="4">
        <v>42339</v>
      </c>
      <c r="J17" s="4" t="s">
        <v>55</v>
      </c>
      <c r="K17" s="5">
        <v>4.0999999999999996</v>
      </c>
      <c r="L17" s="1" t="s">
        <v>34</v>
      </c>
      <c r="M17" s="1" t="s">
        <v>36</v>
      </c>
      <c r="N17" s="1" t="s">
        <v>390</v>
      </c>
      <c r="O17" s="1" t="s">
        <v>390</v>
      </c>
      <c r="P17" s="1" t="s">
        <v>395</v>
      </c>
      <c r="Q17">
        <v>0.96361300000000005</v>
      </c>
      <c r="R17">
        <v>0.88797199999999998</v>
      </c>
      <c r="S17" s="16">
        <v>14.29843</v>
      </c>
      <c r="T17" s="14">
        <v>2134959893</v>
      </c>
      <c r="U17" s="13">
        <f t="shared" si="0"/>
        <v>0.77771027376731516</v>
      </c>
    </row>
    <row r="18" spans="1:21" x14ac:dyDescent="0.2">
      <c r="A18" s="7" t="s">
        <v>26</v>
      </c>
      <c r="B18" s="1" t="s">
        <v>29</v>
      </c>
      <c r="C18" s="1" t="s">
        <v>90</v>
      </c>
      <c r="D18" s="1" t="s">
        <v>30</v>
      </c>
      <c r="E18" s="1" t="s">
        <v>99</v>
      </c>
      <c r="F18" s="1" t="s">
        <v>32</v>
      </c>
      <c r="G18" s="2">
        <v>43837</v>
      </c>
      <c r="H18" s="8">
        <v>0.68</v>
      </c>
      <c r="I18" s="4">
        <v>42339</v>
      </c>
      <c r="J18" s="4" t="s">
        <v>55</v>
      </c>
      <c r="K18" s="5">
        <v>4.0999999999999996</v>
      </c>
      <c r="L18" s="1" t="s">
        <v>34</v>
      </c>
      <c r="M18" s="1" t="s">
        <v>36</v>
      </c>
      <c r="N18" s="1" t="s">
        <v>392</v>
      </c>
      <c r="O18" s="1" t="s">
        <v>393</v>
      </c>
      <c r="P18" s="1" t="s">
        <v>395</v>
      </c>
      <c r="Q18">
        <v>0.75929199999999997</v>
      </c>
      <c r="R18">
        <v>0.67356000000000005</v>
      </c>
      <c r="S18" s="16">
        <v>14.294271999999999</v>
      </c>
      <c r="T18" s="14">
        <v>1639386564</v>
      </c>
      <c r="U18" s="13">
        <f t="shared" si="0"/>
        <v>0.59718581959277028</v>
      </c>
    </row>
    <row r="19" spans="1:21" x14ac:dyDescent="0.2">
      <c r="A19" s="7" t="s">
        <v>24</v>
      </c>
      <c r="B19" s="1" t="s">
        <v>29</v>
      </c>
      <c r="C19" s="1" t="s">
        <v>90</v>
      </c>
      <c r="D19" s="1" t="s">
        <v>30</v>
      </c>
      <c r="E19" s="1" t="s">
        <v>99</v>
      </c>
      <c r="F19" s="1" t="s">
        <v>32</v>
      </c>
      <c r="G19" s="2">
        <v>43837</v>
      </c>
      <c r="H19" s="3">
        <v>0.68</v>
      </c>
      <c r="I19" s="4">
        <v>42339</v>
      </c>
      <c r="J19" s="4" t="s">
        <v>55</v>
      </c>
      <c r="K19" s="5">
        <v>4.0999999999999996</v>
      </c>
      <c r="L19" s="1" t="s">
        <v>34</v>
      </c>
      <c r="M19" s="1" t="s">
        <v>36</v>
      </c>
      <c r="N19" s="1" t="s">
        <v>390</v>
      </c>
      <c r="O19" s="1" t="s">
        <v>390</v>
      </c>
      <c r="P19" s="1" t="s">
        <v>395</v>
      </c>
      <c r="Q19">
        <v>0.96493300000000004</v>
      </c>
      <c r="R19">
        <v>0.92239599999999999</v>
      </c>
      <c r="S19" s="16">
        <v>16.093691</v>
      </c>
      <c r="T19" s="14">
        <v>2336009052</v>
      </c>
      <c r="U19" s="13">
        <f t="shared" si="0"/>
        <v>0.8509472451030472</v>
      </c>
    </row>
    <row r="20" spans="1:21" x14ac:dyDescent="0.2">
      <c r="A20" s="7" t="s">
        <v>27</v>
      </c>
      <c r="B20" s="1" t="s">
        <v>29</v>
      </c>
      <c r="C20" s="1" t="s">
        <v>90</v>
      </c>
      <c r="D20" s="1" t="s">
        <v>30</v>
      </c>
      <c r="E20" s="1" t="s">
        <v>99</v>
      </c>
      <c r="F20" s="1" t="s">
        <v>32</v>
      </c>
      <c r="G20" s="2">
        <v>43837</v>
      </c>
      <c r="H20" s="8">
        <v>0.68</v>
      </c>
      <c r="I20" s="4">
        <v>42339</v>
      </c>
      <c r="J20" s="4" t="s">
        <v>55</v>
      </c>
      <c r="K20" s="5">
        <v>4.0999999999999996</v>
      </c>
      <c r="L20" s="1" t="s">
        <v>34</v>
      </c>
      <c r="M20" s="1" t="s">
        <v>36</v>
      </c>
      <c r="N20" s="1" t="s">
        <v>392</v>
      </c>
      <c r="O20" s="1" t="s">
        <v>393</v>
      </c>
      <c r="P20" s="1" t="s">
        <v>395</v>
      </c>
      <c r="Q20">
        <v>0.55152699999999999</v>
      </c>
      <c r="R20">
        <v>0.38928800000000002</v>
      </c>
      <c r="S20" s="16">
        <v>11.758462</v>
      </c>
      <c r="T20" s="14">
        <v>819503888</v>
      </c>
      <c r="U20" s="13">
        <f t="shared" si="0"/>
        <v>0.29852391849585869</v>
      </c>
    </row>
    <row r="21" spans="1:21" ht="17" customHeight="1" x14ac:dyDescent="0.2">
      <c r="A21" s="7" t="s">
        <v>25</v>
      </c>
      <c r="B21" s="1" t="s">
        <v>29</v>
      </c>
      <c r="C21" s="1" t="s">
        <v>90</v>
      </c>
      <c r="D21" s="1" t="s">
        <v>30</v>
      </c>
      <c r="E21" s="1" t="s">
        <v>99</v>
      </c>
      <c r="F21" s="1" t="s">
        <v>32</v>
      </c>
      <c r="G21" s="2">
        <v>43837</v>
      </c>
      <c r="H21" s="3">
        <v>0.68</v>
      </c>
      <c r="I21" s="4">
        <v>42339</v>
      </c>
      <c r="J21" s="4" t="s">
        <v>55</v>
      </c>
      <c r="K21" s="5">
        <v>4.0999999999999996</v>
      </c>
      <c r="L21" s="1" t="s">
        <v>34</v>
      </c>
      <c r="M21" s="1" t="s">
        <v>36</v>
      </c>
      <c r="N21" s="1" t="s">
        <v>391</v>
      </c>
      <c r="O21" s="1" t="s">
        <v>391</v>
      </c>
      <c r="P21" s="1" t="s">
        <v>396</v>
      </c>
      <c r="Q21">
        <v>0.94338599999999995</v>
      </c>
      <c r="R21">
        <v>0.84880999999999995</v>
      </c>
      <c r="S21" s="16">
        <v>19.992149999999999</v>
      </c>
      <c r="T21" s="14">
        <v>2115959536</v>
      </c>
      <c r="U21" s="13">
        <f t="shared" si="0"/>
        <v>0.77078893866748677</v>
      </c>
    </row>
    <row r="22" spans="1:21" x14ac:dyDescent="0.2">
      <c r="A22" s="7" t="s">
        <v>28</v>
      </c>
      <c r="B22" s="1" t="s">
        <v>29</v>
      </c>
      <c r="C22" s="1" t="s">
        <v>90</v>
      </c>
      <c r="D22" s="1" t="s">
        <v>30</v>
      </c>
      <c r="E22" s="1" t="s">
        <v>99</v>
      </c>
      <c r="F22" s="1" t="s">
        <v>32</v>
      </c>
      <c r="G22" s="2">
        <v>43837</v>
      </c>
      <c r="H22" s="8">
        <v>0.68</v>
      </c>
      <c r="I22" s="4">
        <v>42339</v>
      </c>
      <c r="J22" s="4" t="s">
        <v>55</v>
      </c>
      <c r="K22" s="5">
        <v>4.0999999999999996</v>
      </c>
      <c r="L22" s="1" t="s">
        <v>34</v>
      </c>
      <c r="M22" s="1" t="s">
        <v>36</v>
      </c>
      <c r="N22" s="1" t="s">
        <v>392</v>
      </c>
      <c r="O22" s="1" t="s">
        <v>393</v>
      </c>
      <c r="P22" s="1" t="s">
        <v>396</v>
      </c>
      <c r="Q22">
        <v>0.52858000000000005</v>
      </c>
      <c r="R22">
        <v>0.37739</v>
      </c>
      <c r="S22" s="16">
        <v>11.342368</v>
      </c>
      <c r="T22" s="14">
        <v>790473543</v>
      </c>
      <c r="U22" s="13">
        <f t="shared" si="0"/>
        <v>0.28794892004669126</v>
      </c>
    </row>
    <row r="23" spans="1:21" x14ac:dyDescent="0.2">
      <c r="A23" s="1" t="s">
        <v>15</v>
      </c>
      <c r="B23" s="1" t="s">
        <v>29</v>
      </c>
      <c r="C23" s="1" t="s">
        <v>90</v>
      </c>
      <c r="D23" s="1" t="s">
        <v>30</v>
      </c>
      <c r="E23" s="1" t="s">
        <v>99</v>
      </c>
      <c r="F23" s="1" t="s">
        <v>32</v>
      </c>
      <c r="G23" s="2">
        <v>43837</v>
      </c>
      <c r="H23" s="3">
        <v>0.68</v>
      </c>
      <c r="I23" s="4">
        <v>42339</v>
      </c>
      <c r="J23" s="4" t="s">
        <v>55</v>
      </c>
      <c r="K23" s="5">
        <v>4.0999999999999996</v>
      </c>
      <c r="L23" s="1" t="s">
        <v>34</v>
      </c>
      <c r="M23" s="1" t="s">
        <v>387</v>
      </c>
      <c r="N23" s="1" t="s">
        <v>55</v>
      </c>
      <c r="O23" s="1" t="s">
        <v>55</v>
      </c>
      <c r="P23" s="1" t="s">
        <v>395</v>
      </c>
      <c r="Q23">
        <v>0.97236400000000001</v>
      </c>
      <c r="R23">
        <v>0.96605799999999997</v>
      </c>
      <c r="S23" s="16">
        <v>27.547051</v>
      </c>
      <c r="T23" s="14" t="s">
        <v>55</v>
      </c>
      <c r="U23" s="13" t="e">
        <f t="shared" si="0"/>
        <v>#VALUE!</v>
      </c>
    </row>
    <row r="24" spans="1:21" x14ac:dyDescent="0.2">
      <c r="A24" s="7" t="s">
        <v>371</v>
      </c>
      <c r="B24" s="1" t="s">
        <v>29</v>
      </c>
      <c r="C24" s="1" t="s">
        <v>90</v>
      </c>
      <c r="D24" s="1" t="s">
        <v>30</v>
      </c>
      <c r="E24" s="1" t="s">
        <v>105</v>
      </c>
      <c r="F24" s="1" t="s">
        <v>31</v>
      </c>
      <c r="G24" s="2">
        <v>43837</v>
      </c>
      <c r="H24" s="3">
        <v>0.88</v>
      </c>
      <c r="I24" s="4">
        <v>42339</v>
      </c>
      <c r="J24" s="4" t="s">
        <v>55</v>
      </c>
      <c r="K24" s="5">
        <v>4.0999999999999996</v>
      </c>
      <c r="L24" s="1" t="s">
        <v>34</v>
      </c>
      <c r="M24" s="1" t="s">
        <v>386</v>
      </c>
      <c r="N24" s="1" t="s">
        <v>390</v>
      </c>
      <c r="O24" s="1" t="s">
        <v>390</v>
      </c>
      <c r="P24" s="1" t="s">
        <v>396</v>
      </c>
      <c r="Q24" s="12" t="s">
        <v>55</v>
      </c>
      <c r="R24" s="12" t="s">
        <v>55</v>
      </c>
      <c r="S24" s="17" t="s">
        <v>55</v>
      </c>
      <c r="T24" s="14" t="s">
        <v>55</v>
      </c>
      <c r="U24" s="13" t="e">
        <f t="shared" si="0"/>
        <v>#VALUE!</v>
      </c>
    </row>
    <row r="25" spans="1:21" x14ac:dyDescent="0.2">
      <c r="A25" s="1" t="s">
        <v>372</v>
      </c>
      <c r="B25" s="1" t="s">
        <v>29</v>
      </c>
      <c r="C25" s="1" t="s">
        <v>90</v>
      </c>
      <c r="D25" s="1" t="s">
        <v>30</v>
      </c>
      <c r="E25" s="1" t="s">
        <v>105</v>
      </c>
      <c r="F25" s="1" t="s">
        <v>32</v>
      </c>
      <c r="G25" s="2">
        <v>43837</v>
      </c>
      <c r="H25" s="3">
        <v>0.88</v>
      </c>
      <c r="I25" s="4">
        <v>42339</v>
      </c>
      <c r="J25" s="4" t="s">
        <v>55</v>
      </c>
      <c r="K25" s="5">
        <v>4.0999999999999996</v>
      </c>
      <c r="L25" s="1" t="s">
        <v>34</v>
      </c>
      <c r="M25" s="1" t="s">
        <v>36</v>
      </c>
      <c r="N25" s="1" t="s">
        <v>390</v>
      </c>
      <c r="O25" s="1" t="s">
        <v>390</v>
      </c>
      <c r="P25" s="1" t="s">
        <v>395</v>
      </c>
      <c r="Q25">
        <v>0.93278300000000003</v>
      </c>
      <c r="R25">
        <v>0.758405</v>
      </c>
      <c r="S25" s="16">
        <v>10.124105</v>
      </c>
      <c r="T25" s="14">
        <v>1708556401</v>
      </c>
      <c r="U25" s="13">
        <f t="shared" si="0"/>
        <v>0.62238258935228097</v>
      </c>
    </row>
    <row r="26" spans="1:21" x14ac:dyDescent="0.2">
      <c r="A26" s="7" t="s">
        <v>373</v>
      </c>
      <c r="B26" s="1" t="s">
        <v>29</v>
      </c>
      <c r="C26" s="1" t="s">
        <v>90</v>
      </c>
      <c r="D26" s="1" t="s">
        <v>30</v>
      </c>
      <c r="E26" s="1" t="s">
        <v>105</v>
      </c>
      <c r="F26" s="1" t="s">
        <v>31</v>
      </c>
      <c r="G26" s="2">
        <v>43837</v>
      </c>
      <c r="H26" s="3">
        <v>0.88</v>
      </c>
      <c r="I26" s="4">
        <v>42339</v>
      </c>
      <c r="J26" s="4" t="s">
        <v>55</v>
      </c>
      <c r="K26" s="5">
        <v>4.0999999999999996</v>
      </c>
      <c r="L26" s="1" t="s">
        <v>34</v>
      </c>
      <c r="M26" s="1" t="s">
        <v>36</v>
      </c>
      <c r="N26" s="1" t="s">
        <v>391</v>
      </c>
      <c r="O26" s="1" t="s">
        <v>391</v>
      </c>
      <c r="P26" s="1" t="s">
        <v>395</v>
      </c>
      <c r="Q26">
        <v>0.90099399999999996</v>
      </c>
      <c r="R26">
        <v>0.73612200000000005</v>
      </c>
      <c r="S26" s="16">
        <v>11.45749</v>
      </c>
      <c r="T26" s="14">
        <v>1744627241</v>
      </c>
      <c r="U26" s="13">
        <f t="shared" si="0"/>
        <v>0.63552225672654628</v>
      </c>
    </row>
    <row r="27" spans="1:21" x14ac:dyDescent="0.2">
      <c r="A27" s="7" t="s">
        <v>374</v>
      </c>
      <c r="B27" s="1" t="s">
        <v>29</v>
      </c>
      <c r="C27" s="1" t="s">
        <v>90</v>
      </c>
      <c r="D27" s="1" t="s">
        <v>30</v>
      </c>
      <c r="E27" s="1" t="s">
        <v>105</v>
      </c>
      <c r="F27" s="1" t="s">
        <v>31</v>
      </c>
      <c r="G27" s="2">
        <v>43837</v>
      </c>
      <c r="H27" s="3">
        <v>0.88</v>
      </c>
      <c r="I27" s="4">
        <v>42339</v>
      </c>
      <c r="J27" s="4" t="s">
        <v>55</v>
      </c>
      <c r="K27" s="5">
        <v>4.0999999999999996</v>
      </c>
      <c r="L27" s="1" t="s">
        <v>34</v>
      </c>
      <c r="M27" s="1" t="s">
        <v>36</v>
      </c>
      <c r="N27" s="1" t="s">
        <v>390</v>
      </c>
      <c r="O27" s="1" t="s">
        <v>390</v>
      </c>
      <c r="P27" s="1" t="s">
        <v>396</v>
      </c>
      <c r="Q27">
        <v>0.95354700000000003</v>
      </c>
      <c r="R27">
        <v>0.81322399999999995</v>
      </c>
      <c r="S27" s="16">
        <v>11.342556</v>
      </c>
      <c r="T27" s="14">
        <v>1904813773</v>
      </c>
      <c r="U27" s="13">
        <f t="shared" si="0"/>
        <v>0.69387403750894838</v>
      </c>
    </row>
    <row r="28" spans="1:21" x14ac:dyDescent="0.2">
      <c r="A28" s="7" t="s">
        <v>375</v>
      </c>
      <c r="B28" s="1" t="s">
        <v>29</v>
      </c>
      <c r="C28" s="1" t="s">
        <v>90</v>
      </c>
      <c r="D28" s="1" t="s">
        <v>30</v>
      </c>
      <c r="E28" s="1" t="s">
        <v>105</v>
      </c>
      <c r="F28" s="1" t="s">
        <v>31</v>
      </c>
      <c r="G28" s="2">
        <v>43837</v>
      </c>
      <c r="H28" s="3">
        <v>0.88</v>
      </c>
      <c r="I28" s="4">
        <v>42339</v>
      </c>
      <c r="J28" s="4" t="s">
        <v>55</v>
      </c>
      <c r="K28" s="5">
        <v>4.0999999999999996</v>
      </c>
      <c r="L28" s="1" t="s">
        <v>34</v>
      </c>
      <c r="M28" s="1" t="s">
        <v>36</v>
      </c>
      <c r="N28" s="1" t="s">
        <v>392</v>
      </c>
      <c r="O28" s="1" t="s">
        <v>390</v>
      </c>
      <c r="P28" s="1" t="s">
        <v>396</v>
      </c>
      <c r="Q28">
        <v>0.95572400000000002</v>
      </c>
      <c r="R28">
        <v>0.80528299999999997</v>
      </c>
      <c r="S28" s="16">
        <v>10.532508999999999</v>
      </c>
      <c r="T28" s="14">
        <v>1767620755</v>
      </c>
      <c r="U28" s="13">
        <f t="shared" si="0"/>
        <v>0.64389819490058131</v>
      </c>
    </row>
    <row r="29" spans="1:21" x14ac:dyDescent="0.2">
      <c r="A29" s="7" t="s">
        <v>376</v>
      </c>
      <c r="B29" s="1" t="s">
        <v>29</v>
      </c>
      <c r="C29" s="1" t="s">
        <v>90</v>
      </c>
      <c r="D29" s="1" t="s">
        <v>30</v>
      </c>
      <c r="E29" s="1" t="s">
        <v>105</v>
      </c>
      <c r="F29" s="1" t="s">
        <v>31</v>
      </c>
      <c r="G29" s="2">
        <v>43837</v>
      </c>
      <c r="H29" s="3">
        <v>0.88</v>
      </c>
      <c r="I29" s="4">
        <v>42339</v>
      </c>
      <c r="J29" s="4" t="s">
        <v>55</v>
      </c>
      <c r="K29" s="5">
        <v>4.0999999999999996</v>
      </c>
      <c r="L29" s="1" t="s">
        <v>34</v>
      </c>
      <c r="M29" s="1" t="s">
        <v>36</v>
      </c>
      <c r="N29" s="1" t="s">
        <v>392</v>
      </c>
      <c r="O29" s="1" t="s">
        <v>390</v>
      </c>
      <c r="P29" s="1" t="s">
        <v>396</v>
      </c>
      <c r="Q29">
        <v>0.95258200000000004</v>
      </c>
      <c r="R29">
        <v>0.76400000000000001</v>
      </c>
      <c r="S29" s="16">
        <v>9.6453579999999999</v>
      </c>
      <c r="T29" s="14">
        <v>1648441203</v>
      </c>
      <c r="U29" s="13">
        <f t="shared" si="0"/>
        <v>0.60048418870904396</v>
      </c>
    </row>
    <row r="30" spans="1:21" x14ac:dyDescent="0.2">
      <c r="A30" s="7" t="s">
        <v>377</v>
      </c>
      <c r="B30" s="1" t="s">
        <v>29</v>
      </c>
      <c r="C30" s="1" t="s">
        <v>90</v>
      </c>
      <c r="D30" s="1" t="s">
        <v>30</v>
      </c>
      <c r="E30" s="1" t="s">
        <v>105</v>
      </c>
      <c r="F30" s="1" t="s">
        <v>31</v>
      </c>
      <c r="G30" s="2">
        <v>43837</v>
      </c>
      <c r="H30" s="3">
        <v>0.88</v>
      </c>
      <c r="I30" s="4">
        <v>42339</v>
      </c>
      <c r="J30" s="4" t="s">
        <v>55</v>
      </c>
      <c r="K30" s="5">
        <v>4.0999999999999996</v>
      </c>
      <c r="L30" s="1" t="s">
        <v>34</v>
      </c>
      <c r="M30" s="1" t="s">
        <v>36</v>
      </c>
      <c r="N30" s="1" t="s">
        <v>392</v>
      </c>
      <c r="O30" s="1" t="s">
        <v>393</v>
      </c>
      <c r="P30" s="1" t="s">
        <v>396</v>
      </c>
      <c r="Q30">
        <v>0.93830499999999994</v>
      </c>
      <c r="R30">
        <v>0.72462700000000002</v>
      </c>
      <c r="S30" s="16">
        <v>9.0467829999999996</v>
      </c>
      <c r="T30" s="14">
        <v>1524316944</v>
      </c>
      <c r="U30" s="13">
        <f t="shared" si="0"/>
        <v>0.55526895456597569</v>
      </c>
    </row>
    <row r="31" spans="1:21" x14ac:dyDescent="0.2">
      <c r="A31" s="7" t="s">
        <v>378</v>
      </c>
      <c r="B31" s="1" t="s">
        <v>29</v>
      </c>
      <c r="C31" s="1" t="s">
        <v>90</v>
      </c>
      <c r="D31" s="1" t="s">
        <v>30</v>
      </c>
      <c r="E31" s="1" t="s">
        <v>105</v>
      </c>
      <c r="F31" s="1" t="s">
        <v>31</v>
      </c>
      <c r="G31" s="2">
        <v>43837</v>
      </c>
      <c r="H31" s="3">
        <v>0.88</v>
      </c>
      <c r="I31" s="4">
        <v>42339</v>
      </c>
      <c r="J31" s="4" t="s">
        <v>55</v>
      </c>
      <c r="K31" s="5">
        <v>4.0999999999999996</v>
      </c>
      <c r="L31" s="1" t="s">
        <v>34</v>
      </c>
      <c r="M31" s="1" t="s">
        <v>36</v>
      </c>
      <c r="N31" s="1" t="s">
        <v>392</v>
      </c>
      <c r="O31" s="1" t="s">
        <v>390</v>
      </c>
      <c r="P31" s="1" t="s">
        <v>396</v>
      </c>
      <c r="Q31">
        <v>0.95080200000000004</v>
      </c>
      <c r="R31">
        <v>0.86383900000000002</v>
      </c>
      <c r="S31" s="16">
        <v>15.529591</v>
      </c>
      <c r="T31" s="14">
        <v>2150350435</v>
      </c>
      <c r="U31" s="13">
        <f>T31/2745186691</f>
        <v>0.78331664729755901</v>
      </c>
    </row>
    <row r="32" spans="1:21" x14ac:dyDescent="0.2">
      <c r="A32" s="7" t="s">
        <v>379</v>
      </c>
      <c r="B32" s="1" t="s">
        <v>29</v>
      </c>
      <c r="C32" s="1" t="s">
        <v>90</v>
      </c>
      <c r="D32" s="1" t="s">
        <v>30</v>
      </c>
      <c r="E32" s="1" t="s">
        <v>105</v>
      </c>
      <c r="F32" s="1" t="s">
        <v>31</v>
      </c>
      <c r="G32" s="2">
        <v>43837</v>
      </c>
      <c r="H32" s="3">
        <v>0.88</v>
      </c>
      <c r="I32" s="4">
        <v>42339</v>
      </c>
      <c r="J32" s="4" t="s">
        <v>55</v>
      </c>
      <c r="K32" s="5">
        <v>4.0999999999999996</v>
      </c>
      <c r="L32" s="1" t="s">
        <v>34</v>
      </c>
      <c r="M32" s="1" t="s">
        <v>36</v>
      </c>
      <c r="N32" s="1" t="s">
        <v>391</v>
      </c>
      <c r="O32" s="1" t="s">
        <v>390</v>
      </c>
      <c r="P32" s="1" t="s">
        <v>396</v>
      </c>
      <c r="Q32">
        <v>0.90756499999999996</v>
      </c>
      <c r="R32">
        <v>0.76139199999999996</v>
      </c>
      <c r="S32" s="16">
        <v>11.603737000000001</v>
      </c>
      <c r="T32" s="14">
        <v>1821804526</v>
      </c>
      <c r="U32" s="13">
        <f t="shared" si="0"/>
        <v>0.6636359312001342</v>
      </c>
    </row>
    <row r="33" spans="1:21" x14ac:dyDescent="0.2">
      <c r="A33" s="7" t="s">
        <v>380</v>
      </c>
      <c r="B33" s="1" t="s">
        <v>29</v>
      </c>
      <c r="C33" s="1" t="s">
        <v>90</v>
      </c>
      <c r="D33" s="1" t="s">
        <v>30</v>
      </c>
      <c r="E33" s="1" t="s">
        <v>105</v>
      </c>
      <c r="F33" s="1" t="s">
        <v>31</v>
      </c>
      <c r="G33" s="2">
        <v>43837</v>
      </c>
      <c r="H33" s="3">
        <v>0.88</v>
      </c>
      <c r="I33" s="4">
        <v>42339</v>
      </c>
      <c r="J33" s="4" t="s">
        <v>55</v>
      </c>
      <c r="K33" s="5">
        <v>4.0999999999999996</v>
      </c>
      <c r="L33" s="1" t="s">
        <v>34</v>
      </c>
      <c r="M33" s="1" t="s">
        <v>36</v>
      </c>
      <c r="N33" s="1" t="s">
        <v>390</v>
      </c>
      <c r="O33" s="1" t="s">
        <v>390</v>
      </c>
      <c r="P33" s="1" t="s">
        <v>396</v>
      </c>
      <c r="Q33">
        <v>0.96198399999999995</v>
      </c>
      <c r="R33">
        <v>0.87999899999999998</v>
      </c>
      <c r="S33" s="16">
        <v>11.52768</v>
      </c>
      <c r="T33" s="14">
        <v>2069570328</v>
      </c>
      <c r="U33" s="13">
        <f t="shared" si="0"/>
        <v>0.75389055862212029</v>
      </c>
    </row>
    <row r="34" spans="1:21" x14ac:dyDescent="0.2">
      <c r="A34" s="7" t="s">
        <v>381</v>
      </c>
      <c r="B34" s="1" t="s">
        <v>29</v>
      </c>
      <c r="C34" s="1" t="s">
        <v>90</v>
      </c>
      <c r="D34" s="1" t="s">
        <v>30</v>
      </c>
      <c r="E34" s="1" t="s">
        <v>105</v>
      </c>
      <c r="F34" s="1" t="s">
        <v>31</v>
      </c>
      <c r="G34" s="2">
        <v>43837</v>
      </c>
      <c r="H34" s="3">
        <v>0.88</v>
      </c>
      <c r="I34" s="4">
        <v>42339</v>
      </c>
      <c r="J34" s="4" t="s">
        <v>55</v>
      </c>
      <c r="K34" s="5">
        <v>4.0999999999999996</v>
      </c>
      <c r="L34" s="1" t="s">
        <v>34</v>
      </c>
      <c r="M34" s="1" t="s">
        <v>36</v>
      </c>
      <c r="N34" s="1" t="s">
        <v>390</v>
      </c>
      <c r="O34" s="1" t="s">
        <v>390</v>
      </c>
      <c r="P34" s="1" t="s">
        <v>396</v>
      </c>
      <c r="Q34">
        <v>0.95821699999999999</v>
      </c>
      <c r="R34">
        <v>0.84273100000000001</v>
      </c>
      <c r="S34" s="16">
        <v>10.729044999999999</v>
      </c>
      <c r="T34" s="14">
        <v>1901447996</v>
      </c>
      <c r="U34" s="13">
        <f t="shared" si="0"/>
        <v>0.69264797262562572</v>
      </c>
    </row>
    <row r="35" spans="1:21" x14ac:dyDescent="0.2">
      <c r="A35" s="7" t="s">
        <v>382</v>
      </c>
      <c r="B35" s="1" t="s">
        <v>29</v>
      </c>
      <c r="C35" s="1" t="s">
        <v>90</v>
      </c>
      <c r="D35" s="1" t="s">
        <v>30</v>
      </c>
      <c r="E35" s="1" t="s">
        <v>105</v>
      </c>
      <c r="F35" s="1" t="s">
        <v>31</v>
      </c>
      <c r="G35" s="2">
        <v>43837</v>
      </c>
      <c r="H35" s="3">
        <v>0.88</v>
      </c>
      <c r="I35" s="4">
        <v>42339</v>
      </c>
      <c r="J35" s="4" t="s">
        <v>55</v>
      </c>
      <c r="K35" s="5">
        <v>4.0999999999999996</v>
      </c>
      <c r="L35" s="1" t="s">
        <v>34</v>
      </c>
      <c r="M35" s="1" t="s">
        <v>36</v>
      </c>
      <c r="N35" s="1" t="s">
        <v>392</v>
      </c>
      <c r="O35" s="1" t="s">
        <v>390</v>
      </c>
      <c r="P35" s="1" t="s">
        <v>396</v>
      </c>
      <c r="Q35">
        <v>0.95325899999999997</v>
      </c>
      <c r="R35">
        <v>0.79503599999999996</v>
      </c>
      <c r="S35" s="16">
        <v>12.037646000000001</v>
      </c>
      <c r="T35" s="14">
        <v>1805967881</v>
      </c>
      <c r="U35" s="13">
        <f t="shared" si="0"/>
        <v>0.65786705396787892</v>
      </c>
    </row>
    <row r="36" spans="1:21" x14ac:dyDescent="0.2">
      <c r="A36" s="7" t="s">
        <v>383</v>
      </c>
      <c r="B36" s="1" t="s">
        <v>29</v>
      </c>
      <c r="C36" s="1" t="s">
        <v>90</v>
      </c>
      <c r="D36" s="1" t="s">
        <v>30</v>
      </c>
      <c r="E36" s="1" t="s">
        <v>105</v>
      </c>
      <c r="F36" s="1" t="s">
        <v>31</v>
      </c>
      <c r="G36" s="2">
        <v>43837</v>
      </c>
      <c r="H36" s="3">
        <v>0.88</v>
      </c>
      <c r="I36" s="4">
        <v>42339</v>
      </c>
      <c r="J36" s="4" t="s">
        <v>55</v>
      </c>
      <c r="K36" s="5">
        <v>4.0999999999999996</v>
      </c>
      <c r="L36" s="1" t="s">
        <v>34</v>
      </c>
      <c r="M36" s="1" t="s">
        <v>36</v>
      </c>
      <c r="N36" s="1" t="s">
        <v>390</v>
      </c>
      <c r="O36" s="1" t="s">
        <v>390</v>
      </c>
      <c r="P36" s="1" t="s">
        <v>396</v>
      </c>
      <c r="Q36">
        <v>0.94850699999999999</v>
      </c>
      <c r="R36">
        <v>0.73484300000000002</v>
      </c>
      <c r="S36" s="16">
        <v>8.739808</v>
      </c>
      <c r="T36" s="14">
        <v>1507302843</v>
      </c>
      <c r="U36" s="13">
        <f t="shared" si="0"/>
        <v>0.54907116078539953</v>
      </c>
    </row>
    <row r="37" spans="1:21" x14ac:dyDescent="0.2">
      <c r="A37" s="7" t="s">
        <v>384</v>
      </c>
      <c r="B37" s="1" t="s">
        <v>29</v>
      </c>
      <c r="C37" s="1" t="s">
        <v>90</v>
      </c>
      <c r="D37" s="1" t="s">
        <v>30</v>
      </c>
      <c r="E37" s="1" t="s">
        <v>105</v>
      </c>
      <c r="F37" s="1" t="s">
        <v>31</v>
      </c>
      <c r="G37" s="2">
        <v>43837</v>
      </c>
      <c r="H37" s="3">
        <v>0.88</v>
      </c>
      <c r="I37" s="4">
        <v>42339</v>
      </c>
      <c r="J37" s="4" t="s">
        <v>55</v>
      </c>
      <c r="K37" s="5">
        <v>4.0999999999999996</v>
      </c>
      <c r="L37" s="1" t="s">
        <v>34</v>
      </c>
      <c r="M37" s="1" t="s">
        <v>36</v>
      </c>
      <c r="N37" s="1" t="s">
        <v>391</v>
      </c>
      <c r="O37" s="1" t="s">
        <v>390</v>
      </c>
      <c r="P37" s="1" t="s">
        <v>396</v>
      </c>
      <c r="Q37">
        <v>0.95750500000000005</v>
      </c>
      <c r="R37">
        <v>0.82523299999999999</v>
      </c>
      <c r="S37" s="16">
        <v>11.050922</v>
      </c>
      <c r="T37" s="14">
        <v>1878934461</v>
      </c>
      <c r="U37" s="13">
        <f t="shared" si="0"/>
        <v>0.68444687829793938</v>
      </c>
    </row>
    <row r="38" spans="1:21" x14ac:dyDescent="0.2">
      <c r="A38" s="7" t="s">
        <v>385</v>
      </c>
      <c r="B38" s="1" t="s">
        <v>29</v>
      </c>
      <c r="C38" s="1" t="s">
        <v>90</v>
      </c>
      <c r="D38" s="1" t="s">
        <v>30</v>
      </c>
      <c r="E38" s="1" t="s">
        <v>105</v>
      </c>
      <c r="F38" s="1" t="s">
        <v>31</v>
      </c>
      <c r="G38" s="2">
        <v>43837</v>
      </c>
      <c r="H38" s="3">
        <v>0.88</v>
      </c>
      <c r="I38" s="4">
        <v>42339</v>
      </c>
      <c r="J38" s="4" t="s">
        <v>55</v>
      </c>
      <c r="K38" s="5">
        <v>4.0999999999999996</v>
      </c>
      <c r="L38" s="1" t="s">
        <v>34</v>
      </c>
      <c r="M38" s="1" t="s">
        <v>36</v>
      </c>
      <c r="N38" s="1" t="s">
        <v>391</v>
      </c>
      <c r="O38" s="1" t="s">
        <v>391</v>
      </c>
      <c r="P38" s="1" t="s">
        <v>396</v>
      </c>
      <c r="Q38">
        <v>0.94247300000000001</v>
      </c>
      <c r="R38">
        <v>0.768127</v>
      </c>
      <c r="S38" s="16">
        <v>11.518345999999999</v>
      </c>
      <c r="T38" s="14">
        <v>1753157026</v>
      </c>
      <c r="U38" s="13">
        <f t="shared" si="0"/>
        <v>0.63862943520295534</v>
      </c>
    </row>
    <row r="39" spans="1:21" x14ac:dyDescent="0.2">
      <c r="A39" s="12" t="s">
        <v>185</v>
      </c>
      <c r="B39" s="1" t="s">
        <v>55</v>
      </c>
      <c r="C39" s="1" t="s">
        <v>348</v>
      </c>
      <c r="D39" s="1" t="s">
        <v>30</v>
      </c>
      <c r="E39" s="1" t="s">
        <v>105</v>
      </c>
      <c r="F39" s="1" t="s">
        <v>53</v>
      </c>
      <c r="G39" s="2">
        <v>44338</v>
      </c>
      <c r="H39" s="9">
        <v>0.98</v>
      </c>
      <c r="I39" s="2">
        <v>41944</v>
      </c>
      <c r="J39" s="2" t="s">
        <v>55</v>
      </c>
      <c r="K39" s="1">
        <v>6.6</v>
      </c>
      <c r="L39" s="1" t="s">
        <v>56</v>
      </c>
      <c r="M39" s="1" t="s">
        <v>54</v>
      </c>
      <c r="N39" s="1" t="s">
        <v>391</v>
      </c>
      <c r="O39" s="1" t="s">
        <v>391</v>
      </c>
      <c r="P39" s="1" t="s">
        <v>396</v>
      </c>
      <c r="Q39">
        <v>0.955071</v>
      </c>
      <c r="R39">
        <v>0.82583399999999996</v>
      </c>
      <c r="S39" s="16">
        <v>11.43683</v>
      </c>
      <c r="T39" s="18">
        <v>1878499490</v>
      </c>
      <c r="U39" s="13">
        <f t="shared" si="0"/>
        <v>0.68428842969354176</v>
      </c>
    </row>
    <row r="40" spans="1:21" x14ac:dyDescent="0.2">
      <c r="A40" s="12" t="s">
        <v>186</v>
      </c>
      <c r="B40" s="1" t="s">
        <v>55</v>
      </c>
      <c r="C40" s="1" t="s">
        <v>348</v>
      </c>
      <c r="D40" s="1" t="s">
        <v>30</v>
      </c>
      <c r="E40" s="1" t="s">
        <v>105</v>
      </c>
      <c r="F40" s="1" t="s">
        <v>53</v>
      </c>
      <c r="G40" s="2">
        <v>44338</v>
      </c>
      <c r="H40" s="9">
        <v>0.98</v>
      </c>
      <c r="I40" s="2">
        <v>41944</v>
      </c>
      <c r="J40" s="2" t="s">
        <v>55</v>
      </c>
      <c r="K40" s="1">
        <v>6.6</v>
      </c>
      <c r="L40" s="1" t="s">
        <v>56</v>
      </c>
      <c r="M40" s="1" t="s">
        <v>54</v>
      </c>
      <c r="N40" s="1" t="s">
        <v>390</v>
      </c>
      <c r="O40" s="1" t="s">
        <v>390</v>
      </c>
      <c r="P40" s="1" t="s">
        <v>396</v>
      </c>
      <c r="Q40">
        <v>0.96507600000000004</v>
      </c>
      <c r="R40">
        <v>0.87584399999999996</v>
      </c>
      <c r="S40" s="16">
        <v>12.843119</v>
      </c>
      <c r="T40" s="18">
        <v>2083683361</v>
      </c>
      <c r="U40" s="13">
        <f t="shared" si="0"/>
        <v>0.75903156890250278</v>
      </c>
    </row>
    <row r="41" spans="1:21" x14ac:dyDescent="0.2">
      <c r="A41" s="12" t="s">
        <v>187</v>
      </c>
      <c r="B41" s="1" t="s">
        <v>55</v>
      </c>
      <c r="C41" s="1" t="s">
        <v>348</v>
      </c>
      <c r="D41" s="1" t="s">
        <v>30</v>
      </c>
      <c r="E41" s="1" t="s">
        <v>105</v>
      </c>
      <c r="F41" s="1" t="s">
        <v>53</v>
      </c>
      <c r="G41" s="2">
        <v>44338</v>
      </c>
      <c r="H41" s="9">
        <v>0.98</v>
      </c>
      <c r="I41" s="2">
        <v>41944</v>
      </c>
      <c r="J41" s="2" t="s">
        <v>55</v>
      </c>
      <c r="K41" s="1">
        <v>6.6</v>
      </c>
      <c r="L41" s="1" t="s">
        <v>56</v>
      </c>
      <c r="M41" s="1" t="s">
        <v>54</v>
      </c>
      <c r="N41" s="1" t="s">
        <v>390</v>
      </c>
      <c r="O41" s="1" t="s">
        <v>390</v>
      </c>
      <c r="P41" s="1" t="s">
        <v>396</v>
      </c>
      <c r="Q41">
        <v>0.95842899999999998</v>
      </c>
      <c r="R41">
        <v>0.85454300000000005</v>
      </c>
      <c r="S41" s="16">
        <v>12.007842999999999</v>
      </c>
      <c r="T41" s="18">
        <v>2003050717</v>
      </c>
      <c r="U41" s="13">
        <f t="shared" si="0"/>
        <v>0.72965919715658423</v>
      </c>
    </row>
    <row r="42" spans="1:21" x14ac:dyDescent="0.2">
      <c r="A42" s="12" t="s">
        <v>188</v>
      </c>
      <c r="B42" s="1" t="s">
        <v>55</v>
      </c>
      <c r="C42" s="1" t="s">
        <v>348</v>
      </c>
      <c r="D42" s="1" t="s">
        <v>30</v>
      </c>
      <c r="E42" s="1" t="s">
        <v>105</v>
      </c>
      <c r="F42" s="1" t="s">
        <v>53</v>
      </c>
      <c r="G42" s="2">
        <v>44338</v>
      </c>
      <c r="H42" s="9">
        <v>0.98</v>
      </c>
      <c r="I42" s="2">
        <v>41944</v>
      </c>
      <c r="J42" s="2" t="s">
        <v>55</v>
      </c>
      <c r="K42" s="1">
        <v>6.6</v>
      </c>
      <c r="L42" s="1" t="s">
        <v>56</v>
      </c>
      <c r="M42" s="1" t="s">
        <v>54</v>
      </c>
      <c r="N42" s="1" t="s">
        <v>392</v>
      </c>
      <c r="O42" s="1" t="s">
        <v>392</v>
      </c>
      <c r="P42" s="1" t="s">
        <v>396</v>
      </c>
      <c r="Q42">
        <v>0.951434</v>
      </c>
      <c r="R42">
        <v>0.84909400000000002</v>
      </c>
      <c r="S42" s="16">
        <v>13.287834999999999</v>
      </c>
      <c r="T42" s="18">
        <v>2005907627</v>
      </c>
      <c r="U42" s="13">
        <f t="shared" si="0"/>
        <v>0.7306998950476844</v>
      </c>
    </row>
    <row r="43" spans="1:21" x14ac:dyDescent="0.2">
      <c r="A43" s="12" t="s">
        <v>189</v>
      </c>
      <c r="B43" s="1" t="s">
        <v>55</v>
      </c>
      <c r="C43" s="1" t="s">
        <v>348</v>
      </c>
      <c r="D43" s="1" t="s">
        <v>30</v>
      </c>
      <c r="E43" s="1" t="s">
        <v>105</v>
      </c>
      <c r="F43" s="1" t="s">
        <v>53</v>
      </c>
      <c r="G43" s="2">
        <v>44338</v>
      </c>
      <c r="H43" s="9">
        <v>0.98</v>
      </c>
      <c r="I43" s="2">
        <v>41944</v>
      </c>
      <c r="J43" s="2" t="s">
        <v>55</v>
      </c>
      <c r="K43" s="1">
        <v>6.6</v>
      </c>
      <c r="L43" s="1" t="s">
        <v>56</v>
      </c>
      <c r="M43" s="1" t="s">
        <v>54</v>
      </c>
      <c r="N43" s="1" t="s">
        <v>390</v>
      </c>
      <c r="O43" s="1" t="s">
        <v>390</v>
      </c>
      <c r="P43" s="1" t="s">
        <v>396</v>
      </c>
      <c r="Q43">
        <v>0.959457</v>
      </c>
      <c r="R43">
        <v>0.84704100000000004</v>
      </c>
      <c r="S43" s="16">
        <v>12.509778000000001</v>
      </c>
      <c r="T43" s="18">
        <v>1660503509</v>
      </c>
      <c r="U43" s="13">
        <f t="shared" si="0"/>
        <v>0.60487817256432996</v>
      </c>
    </row>
    <row r="44" spans="1:21" x14ac:dyDescent="0.2">
      <c r="A44" s="12" t="s">
        <v>190</v>
      </c>
      <c r="B44" s="1" t="s">
        <v>55</v>
      </c>
      <c r="C44" s="1" t="s">
        <v>348</v>
      </c>
      <c r="D44" s="1" t="s">
        <v>30</v>
      </c>
      <c r="E44" s="1" t="s">
        <v>105</v>
      </c>
      <c r="F44" s="1" t="s">
        <v>53</v>
      </c>
      <c r="G44" s="2">
        <v>44338</v>
      </c>
      <c r="H44" s="9">
        <v>0.98</v>
      </c>
      <c r="I44" s="2">
        <v>41944</v>
      </c>
      <c r="J44" s="2" t="s">
        <v>55</v>
      </c>
      <c r="K44" s="1">
        <v>6.6</v>
      </c>
      <c r="L44" s="1" t="s">
        <v>56</v>
      </c>
      <c r="M44" s="1" t="s">
        <v>54</v>
      </c>
      <c r="N44" s="1" t="s">
        <v>390</v>
      </c>
      <c r="O44" s="1" t="s">
        <v>390</v>
      </c>
      <c r="P44" s="1" t="s">
        <v>396</v>
      </c>
      <c r="Q44">
        <v>0.96172599999999997</v>
      </c>
      <c r="R44">
        <v>0.84642499999999998</v>
      </c>
      <c r="S44" s="16">
        <v>11.767757</v>
      </c>
      <c r="T44" s="18">
        <v>1960235623</v>
      </c>
      <c r="U44" s="13">
        <f t="shared" si="0"/>
        <v>0.71406277373650573</v>
      </c>
    </row>
    <row r="45" spans="1:21" x14ac:dyDescent="0.2">
      <c r="A45" s="12" t="s">
        <v>191</v>
      </c>
      <c r="B45" s="1" t="s">
        <v>55</v>
      </c>
      <c r="C45" s="1" t="s">
        <v>348</v>
      </c>
      <c r="D45" s="1" t="s">
        <v>30</v>
      </c>
      <c r="E45" s="1" t="s">
        <v>105</v>
      </c>
      <c r="F45" s="1" t="s">
        <v>53</v>
      </c>
      <c r="G45" s="2">
        <v>44338</v>
      </c>
      <c r="H45" s="9">
        <v>0.98</v>
      </c>
      <c r="I45" s="2">
        <v>41944</v>
      </c>
      <c r="J45" s="2" t="s">
        <v>55</v>
      </c>
      <c r="K45" s="1">
        <v>6.6</v>
      </c>
      <c r="L45" s="1" t="s">
        <v>56</v>
      </c>
      <c r="M45" s="1" t="s">
        <v>54</v>
      </c>
      <c r="N45" s="1" t="s">
        <v>391</v>
      </c>
      <c r="O45" s="1" t="s">
        <v>391</v>
      </c>
      <c r="P45" s="1" t="s">
        <v>396</v>
      </c>
      <c r="Q45">
        <v>0.92327199999999998</v>
      </c>
      <c r="R45">
        <v>0.78629400000000005</v>
      </c>
      <c r="S45" s="16">
        <v>12.608955999999999</v>
      </c>
      <c r="T45" s="18">
        <v>1835245986</v>
      </c>
      <c r="U45" s="13">
        <f t="shared" si="0"/>
        <v>0.66853230493095084</v>
      </c>
    </row>
    <row r="46" spans="1:21" x14ac:dyDescent="0.2">
      <c r="A46" s="12" t="s">
        <v>192</v>
      </c>
      <c r="B46" s="1" t="s">
        <v>55</v>
      </c>
      <c r="C46" s="1" t="s">
        <v>348</v>
      </c>
      <c r="D46" s="1" t="s">
        <v>30</v>
      </c>
      <c r="E46" s="1" t="s">
        <v>105</v>
      </c>
      <c r="F46" s="1" t="s">
        <v>53</v>
      </c>
      <c r="G46" s="2">
        <v>44338</v>
      </c>
      <c r="H46" s="9">
        <v>0.98</v>
      </c>
      <c r="I46" s="2">
        <v>41944</v>
      </c>
      <c r="J46" s="2" t="s">
        <v>55</v>
      </c>
      <c r="K46" s="1">
        <v>6.6</v>
      </c>
      <c r="L46" s="1" t="s">
        <v>56</v>
      </c>
      <c r="M46" s="1" t="s">
        <v>54</v>
      </c>
      <c r="N46" s="1" t="s">
        <v>390</v>
      </c>
      <c r="O46" s="1" t="s">
        <v>390</v>
      </c>
      <c r="P46" s="1" t="s">
        <v>396</v>
      </c>
      <c r="Q46">
        <v>0.96648500000000004</v>
      </c>
      <c r="R46">
        <v>0.88657399999999997</v>
      </c>
      <c r="S46" s="16">
        <v>12.935572000000001</v>
      </c>
      <c r="T46" s="18">
        <v>2137228154</v>
      </c>
      <c r="U46" s="13">
        <f t="shared" si="0"/>
        <v>0.77853654216189705</v>
      </c>
    </row>
    <row r="47" spans="1:21" x14ac:dyDescent="0.2">
      <c r="A47" s="12" t="s">
        <v>193</v>
      </c>
      <c r="B47" s="1" t="s">
        <v>55</v>
      </c>
      <c r="C47" s="1" t="s">
        <v>348</v>
      </c>
      <c r="D47" s="1" t="s">
        <v>30</v>
      </c>
      <c r="E47" s="1" t="s">
        <v>105</v>
      </c>
      <c r="F47" s="1" t="s">
        <v>53</v>
      </c>
      <c r="G47" s="2">
        <v>44338</v>
      </c>
      <c r="H47" s="9">
        <v>0.98</v>
      </c>
      <c r="I47" s="2">
        <v>41944</v>
      </c>
      <c r="J47" s="2" t="s">
        <v>55</v>
      </c>
      <c r="K47" s="1">
        <v>6.6</v>
      </c>
      <c r="L47" s="1" t="s">
        <v>56</v>
      </c>
      <c r="M47" s="1" t="s">
        <v>54</v>
      </c>
      <c r="N47" s="1" t="s">
        <v>390</v>
      </c>
      <c r="O47" s="1" t="s">
        <v>390</v>
      </c>
      <c r="P47" s="1" t="s">
        <v>396</v>
      </c>
      <c r="Q47">
        <v>0.96395799999999998</v>
      </c>
      <c r="R47">
        <v>0.83670100000000003</v>
      </c>
      <c r="S47" s="16">
        <v>10.452735000000001</v>
      </c>
      <c r="T47" s="18">
        <v>1867468203</v>
      </c>
      <c r="U47" s="13">
        <f t="shared" si="0"/>
        <v>0.68027001920212937</v>
      </c>
    </row>
    <row r="48" spans="1:21" x14ac:dyDescent="0.2">
      <c r="A48" s="12" t="s">
        <v>194</v>
      </c>
      <c r="B48" s="1" t="s">
        <v>55</v>
      </c>
      <c r="C48" s="1" t="s">
        <v>348</v>
      </c>
      <c r="D48" s="1" t="s">
        <v>30</v>
      </c>
      <c r="E48" s="1" t="s">
        <v>105</v>
      </c>
      <c r="F48" s="1" t="s">
        <v>53</v>
      </c>
      <c r="G48" s="2">
        <v>44338</v>
      </c>
      <c r="H48" s="9">
        <v>0.98</v>
      </c>
      <c r="I48" s="2">
        <v>41944</v>
      </c>
      <c r="J48" s="2" t="s">
        <v>55</v>
      </c>
      <c r="K48" s="1">
        <v>6.6</v>
      </c>
      <c r="L48" s="1" t="s">
        <v>56</v>
      </c>
      <c r="M48" s="1" t="s">
        <v>54</v>
      </c>
      <c r="N48" s="1" t="s">
        <v>391</v>
      </c>
      <c r="O48" s="1" t="s">
        <v>391</v>
      </c>
      <c r="P48" s="1" t="s">
        <v>396</v>
      </c>
      <c r="Q48">
        <v>0.87043300000000001</v>
      </c>
      <c r="R48">
        <v>0.29284900000000003</v>
      </c>
      <c r="S48" s="16">
        <v>3.4749140000000001</v>
      </c>
      <c r="T48" s="18">
        <v>314389579</v>
      </c>
      <c r="U48" s="13">
        <f t="shared" si="0"/>
        <v>0.11452393384782004</v>
      </c>
    </row>
    <row r="49" spans="1:21" x14ac:dyDescent="0.2">
      <c r="A49" s="12" t="s">
        <v>195</v>
      </c>
      <c r="B49" s="1" t="s">
        <v>55</v>
      </c>
      <c r="C49" s="1" t="s">
        <v>348</v>
      </c>
      <c r="D49" s="1" t="s">
        <v>30</v>
      </c>
      <c r="E49" s="1" t="s">
        <v>105</v>
      </c>
      <c r="F49" s="1" t="s">
        <v>53</v>
      </c>
      <c r="G49" s="2">
        <v>44338</v>
      </c>
      <c r="H49" s="9">
        <v>0.98</v>
      </c>
      <c r="I49" s="2">
        <v>41944</v>
      </c>
      <c r="J49" s="2" t="s">
        <v>55</v>
      </c>
      <c r="K49" s="1">
        <v>6.6</v>
      </c>
      <c r="L49" s="1" t="s">
        <v>56</v>
      </c>
      <c r="M49" s="1" t="s">
        <v>54</v>
      </c>
      <c r="N49" s="1" t="s">
        <v>392</v>
      </c>
      <c r="O49" s="1" t="s">
        <v>391</v>
      </c>
      <c r="P49" s="1" t="s">
        <v>396</v>
      </c>
      <c r="Q49">
        <v>0.95950000000000002</v>
      </c>
      <c r="R49">
        <v>0.79706699999999997</v>
      </c>
      <c r="S49" s="16">
        <v>10.552401</v>
      </c>
      <c r="T49" s="18">
        <v>1757128546</v>
      </c>
      <c r="U49" s="13">
        <f t="shared" si="0"/>
        <v>0.64007615648170135</v>
      </c>
    </row>
    <row r="50" spans="1:21" x14ac:dyDescent="0.2">
      <c r="A50" s="12" t="s">
        <v>196</v>
      </c>
      <c r="B50" s="1" t="s">
        <v>55</v>
      </c>
      <c r="C50" s="1" t="s">
        <v>348</v>
      </c>
      <c r="D50" s="1" t="s">
        <v>30</v>
      </c>
      <c r="E50" s="1" t="s">
        <v>105</v>
      </c>
      <c r="F50" s="1" t="s">
        <v>53</v>
      </c>
      <c r="G50" s="2">
        <v>44338</v>
      </c>
      <c r="H50" s="9">
        <v>0.98</v>
      </c>
      <c r="I50" s="2">
        <v>41944</v>
      </c>
      <c r="J50" s="2" t="s">
        <v>55</v>
      </c>
      <c r="K50" s="1">
        <v>6.6</v>
      </c>
      <c r="L50" s="1" t="s">
        <v>56</v>
      </c>
      <c r="M50" s="1" t="s">
        <v>54</v>
      </c>
      <c r="N50" s="1" t="s">
        <v>392</v>
      </c>
      <c r="O50" s="1" t="s">
        <v>392</v>
      </c>
      <c r="P50" s="1" t="s">
        <v>396</v>
      </c>
      <c r="Q50">
        <v>0.81809399999999999</v>
      </c>
      <c r="R50">
        <v>0.66195199999999998</v>
      </c>
      <c r="S50" s="16">
        <v>9.8576549999999994</v>
      </c>
      <c r="T50" s="18">
        <v>1469334377</v>
      </c>
      <c r="U50" s="13">
        <f t="shared" si="0"/>
        <v>0.53524023769208928</v>
      </c>
    </row>
    <row r="51" spans="1:21" x14ac:dyDescent="0.2">
      <c r="A51" s="12" t="s">
        <v>197</v>
      </c>
      <c r="B51" s="1" t="s">
        <v>55</v>
      </c>
      <c r="C51" s="1" t="s">
        <v>348</v>
      </c>
      <c r="D51" s="1" t="s">
        <v>30</v>
      </c>
      <c r="E51" s="1" t="s">
        <v>105</v>
      </c>
      <c r="F51" s="1" t="s">
        <v>53</v>
      </c>
      <c r="G51" s="2">
        <v>44338</v>
      </c>
      <c r="H51" s="9">
        <v>0.98</v>
      </c>
      <c r="I51" s="2">
        <v>41944</v>
      </c>
      <c r="J51" s="2" t="s">
        <v>55</v>
      </c>
      <c r="K51" s="1">
        <v>6.6</v>
      </c>
      <c r="L51" s="1" t="s">
        <v>56</v>
      </c>
      <c r="M51" s="1" t="s">
        <v>54</v>
      </c>
      <c r="N51" s="1" t="s">
        <v>391</v>
      </c>
      <c r="O51" s="1" t="s">
        <v>391</v>
      </c>
      <c r="P51" s="1" t="s">
        <v>396</v>
      </c>
      <c r="Q51">
        <v>0.94884500000000005</v>
      </c>
      <c r="R51">
        <v>0.80010000000000003</v>
      </c>
      <c r="S51" s="16">
        <v>11.34835</v>
      </c>
      <c r="T51" s="18">
        <v>1809852730</v>
      </c>
      <c r="U51" s="13">
        <f t="shared" si="0"/>
        <v>0.65928220325908615</v>
      </c>
    </row>
    <row r="52" spans="1:21" x14ac:dyDescent="0.2">
      <c r="A52" s="12" t="s">
        <v>198</v>
      </c>
      <c r="B52" s="1" t="s">
        <v>55</v>
      </c>
      <c r="C52" s="1" t="s">
        <v>348</v>
      </c>
      <c r="D52" s="1" t="s">
        <v>30</v>
      </c>
      <c r="E52" s="1" t="s">
        <v>105</v>
      </c>
      <c r="F52" s="1" t="s">
        <v>53</v>
      </c>
      <c r="G52" s="2">
        <v>44338</v>
      </c>
      <c r="H52" s="9">
        <v>0.98</v>
      </c>
      <c r="I52" s="2">
        <v>41944</v>
      </c>
      <c r="J52" s="2" t="s">
        <v>55</v>
      </c>
      <c r="K52" s="1">
        <v>6.6</v>
      </c>
      <c r="L52" s="1" t="s">
        <v>56</v>
      </c>
      <c r="M52" s="1" t="s">
        <v>54</v>
      </c>
      <c r="N52" s="1" t="s">
        <v>392</v>
      </c>
      <c r="O52" s="1" t="s">
        <v>392</v>
      </c>
      <c r="P52" s="1" t="s">
        <v>396</v>
      </c>
      <c r="Q52">
        <v>0.90370799999999996</v>
      </c>
      <c r="R52">
        <v>0.68962500000000004</v>
      </c>
      <c r="S52" s="16">
        <v>12.044866000000001</v>
      </c>
      <c r="T52" s="18">
        <v>1587166160</v>
      </c>
      <c r="U52" s="13">
        <f>T52/2745186691</f>
        <v>0.57816328674602335</v>
      </c>
    </row>
    <row r="53" spans="1:21" x14ac:dyDescent="0.2">
      <c r="A53" s="12" t="s">
        <v>199</v>
      </c>
      <c r="B53" s="1" t="s">
        <v>55</v>
      </c>
      <c r="C53" s="1" t="s">
        <v>348</v>
      </c>
      <c r="D53" s="1" t="s">
        <v>30</v>
      </c>
      <c r="E53" s="1" t="s">
        <v>105</v>
      </c>
      <c r="F53" s="1" t="s">
        <v>53</v>
      </c>
      <c r="G53" s="2">
        <v>44338</v>
      </c>
      <c r="H53" s="9">
        <v>0.98</v>
      </c>
      <c r="I53" s="2">
        <v>41944</v>
      </c>
      <c r="J53" s="2" t="s">
        <v>55</v>
      </c>
      <c r="K53" s="1">
        <v>6.6</v>
      </c>
      <c r="L53" s="1" t="s">
        <v>56</v>
      </c>
      <c r="M53" s="1" t="s">
        <v>54</v>
      </c>
      <c r="N53" s="1" t="s">
        <v>392</v>
      </c>
      <c r="O53" s="1" t="s">
        <v>392</v>
      </c>
      <c r="P53" s="1" t="s">
        <v>396</v>
      </c>
      <c r="Q53">
        <v>0.82619500000000001</v>
      </c>
      <c r="R53">
        <v>0.600526</v>
      </c>
      <c r="S53" s="16">
        <v>10.727423999999999</v>
      </c>
      <c r="T53" s="18">
        <v>1331317710</v>
      </c>
      <c r="U53" s="13">
        <f t="shared" si="0"/>
        <v>0.48496436120890402</v>
      </c>
    </row>
    <row r="54" spans="1:21" x14ac:dyDescent="0.2">
      <c r="A54" s="12" t="s">
        <v>200</v>
      </c>
      <c r="B54" s="1" t="s">
        <v>55</v>
      </c>
      <c r="C54" s="1" t="s">
        <v>348</v>
      </c>
      <c r="D54" s="1" t="s">
        <v>30</v>
      </c>
      <c r="E54" s="1" t="s">
        <v>105</v>
      </c>
      <c r="F54" s="1" t="s">
        <v>53</v>
      </c>
      <c r="G54" s="2">
        <v>44338</v>
      </c>
      <c r="H54" s="9">
        <v>0.98</v>
      </c>
      <c r="I54" s="2">
        <v>41944</v>
      </c>
      <c r="J54" s="2" t="s">
        <v>55</v>
      </c>
      <c r="K54" s="1">
        <v>6.6</v>
      </c>
      <c r="L54" s="1" t="s">
        <v>56</v>
      </c>
      <c r="M54" s="1" t="s">
        <v>54</v>
      </c>
      <c r="N54" s="1" t="s">
        <v>391</v>
      </c>
      <c r="O54" s="1" t="s">
        <v>391</v>
      </c>
      <c r="P54" s="1" t="s">
        <v>396</v>
      </c>
      <c r="Q54">
        <v>0.95032899999999998</v>
      </c>
      <c r="R54">
        <v>0.82748200000000005</v>
      </c>
      <c r="S54" s="16">
        <v>11.936249999999999</v>
      </c>
      <c r="T54" s="18">
        <v>1907387286</v>
      </c>
      <c r="U54" s="13">
        <f t="shared" si="0"/>
        <v>0.69481150125538038</v>
      </c>
    </row>
    <row r="55" spans="1:21" x14ac:dyDescent="0.2">
      <c r="A55" s="12" t="s">
        <v>201</v>
      </c>
      <c r="B55" s="1" t="s">
        <v>55</v>
      </c>
      <c r="C55" s="1" t="s">
        <v>348</v>
      </c>
      <c r="D55" s="1" t="s">
        <v>30</v>
      </c>
      <c r="E55" s="1" t="s">
        <v>105</v>
      </c>
      <c r="F55" s="1" t="s">
        <v>53</v>
      </c>
      <c r="G55" s="2">
        <v>44338</v>
      </c>
      <c r="H55" s="9">
        <v>0.98</v>
      </c>
      <c r="I55" s="2">
        <v>41944</v>
      </c>
      <c r="J55" s="2" t="s">
        <v>55</v>
      </c>
      <c r="K55" s="1">
        <v>6.6</v>
      </c>
      <c r="L55" s="1" t="s">
        <v>56</v>
      </c>
      <c r="M55" s="1" t="s">
        <v>54</v>
      </c>
      <c r="N55" s="1" t="s">
        <v>390</v>
      </c>
      <c r="O55" s="1" t="s">
        <v>390</v>
      </c>
      <c r="P55" s="1" t="s">
        <v>396</v>
      </c>
      <c r="Q55">
        <v>0.95870100000000003</v>
      </c>
      <c r="R55">
        <v>0.82340800000000003</v>
      </c>
      <c r="S55" s="16">
        <v>10.86115</v>
      </c>
      <c r="T55" s="18">
        <v>1868806174</v>
      </c>
      <c r="U55" s="13">
        <f t="shared" si="0"/>
        <v>0.68075740718356847</v>
      </c>
    </row>
    <row r="56" spans="1:21" x14ac:dyDescent="0.2">
      <c r="A56" s="12" t="s">
        <v>202</v>
      </c>
      <c r="B56" s="1" t="s">
        <v>55</v>
      </c>
      <c r="C56" s="1" t="s">
        <v>348</v>
      </c>
      <c r="D56" s="1" t="s">
        <v>30</v>
      </c>
      <c r="E56" s="1" t="s">
        <v>105</v>
      </c>
      <c r="F56" s="1" t="s">
        <v>53</v>
      </c>
      <c r="G56" s="2">
        <v>44338</v>
      </c>
      <c r="H56" s="9">
        <v>0.98</v>
      </c>
      <c r="I56" s="2">
        <v>41944</v>
      </c>
      <c r="J56" s="2" t="s">
        <v>55</v>
      </c>
      <c r="K56" s="1">
        <v>6.6</v>
      </c>
      <c r="L56" s="1" t="s">
        <v>56</v>
      </c>
      <c r="M56" s="1" t="s">
        <v>54</v>
      </c>
      <c r="N56" s="1" t="s">
        <v>390</v>
      </c>
      <c r="O56" s="1" t="s">
        <v>390</v>
      </c>
      <c r="P56" s="1" t="s">
        <v>396</v>
      </c>
      <c r="Q56">
        <v>0.96497500000000003</v>
      </c>
      <c r="R56">
        <v>0.85335300000000003</v>
      </c>
      <c r="S56" s="16">
        <v>11.098255999999999</v>
      </c>
      <c r="T56" s="18">
        <v>1943831662</v>
      </c>
      <c r="U56" s="13">
        <f t="shared" si="0"/>
        <v>0.70808723806391205</v>
      </c>
    </row>
    <row r="57" spans="1:21" x14ac:dyDescent="0.2">
      <c r="A57" s="12" t="s">
        <v>203</v>
      </c>
      <c r="B57" s="1" t="s">
        <v>55</v>
      </c>
      <c r="C57" s="1" t="s">
        <v>348</v>
      </c>
      <c r="D57" s="1" t="s">
        <v>30</v>
      </c>
      <c r="E57" s="1" t="s">
        <v>105</v>
      </c>
      <c r="F57" s="1" t="s">
        <v>53</v>
      </c>
      <c r="G57" s="2">
        <v>44338</v>
      </c>
      <c r="H57" s="9">
        <v>0.98</v>
      </c>
      <c r="I57" s="2">
        <v>41944</v>
      </c>
      <c r="J57" s="2" t="s">
        <v>55</v>
      </c>
      <c r="K57" s="1">
        <v>6.6</v>
      </c>
      <c r="L57" s="1" t="s">
        <v>56</v>
      </c>
      <c r="M57" s="1" t="s">
        <v>54</v>
      </c>
      <c r="N57" s="1" t="s">
        <v>390</v>
      </c>
      <c r="O57" s="1" t="s">
        <v>390</v>
      </c>
      <c r="P57" s="1" t="s">
        <v>396</v>
      </c>
      <c r="Q57">
        <v>0.95863399999999999</v>
      </c>
      <c r="R57">
        <v>0.83544600000000002</v>
      </c>
      <c r="S57" s="16">
        <v>10.954933</v>
      </c>
      <c r="T57" s="18">
        <v>1891945647</v>
      </c>
      <c r="U57" s="13">
        <f t="shared" si="0"/>
        <v>0.68918651441910261</v>
      </c>
    </row>
    <row r="58" spans="1:21" x14ac:dyDescent="0.2">
      <c r="A58" s="12" t="s">
        <v>204</v>
      </c>
      <c r="B58" s="1" t="s">
        <v>55</v>
      </c>
      <c r="C58" s="1" t="s">
        <v>348</v>
      </c>
      <c r="D58" s="1" t="s">
        <v>30</v>
      </c>
      <c r="E58" s="1" t="s">
        <v>105</v>
      </c>
      <c r="F58" s="1" t="s">
        <v>53</v>
      </c>
      <c r="G58" s="2">
        <v>44338</v>
      </c>
      <c r="H58" s="9">
        <v>0.98</v>
      </c>
      <c r="I58" s="2">
        <v>41944</v>
      </c>
      <c r="J58" s="2" t="s">
        <v>55</v>
      </c>
      <c r="K58" s="1">
        <v>6.6</v>
      </c>
      <c r="L58" s="1" t="s">
        <v>56</v>
      </c>
      <c r="M58" s="1" t="s">
        <v>54</v>
      </c>
      <c r="N58" s="1" t="s">
        <v>392</v>
      </c>
      <c r="O58" s="1" t="s">
        <v>393</v>
      </c>
      <c r="P58" s="1" t="s">
        <v>396</v>
      </c>
      <c r="Q58">
        <v>0.91069900000000004</v>
      </c>
      <c r="R58">
        <v>0.82233400000000001</v>
      </c>
      <c r="S58" s="16">
        <v>14.983176</v>
      </c>
      <c r="T58" s="18">
        <v>2038554372</v>
      </c>
      <c r="U58" s="13">
        <f t="shared" si="0"/>
        <v>0.74259225381039851</v>
      </c>
    </row>
    <row r="59" spans="1:21" x14ac:dyDescent="0.2">
      <c r="A59" s="12" t="s">
        <v>205</v>
      </c>
      <c r="B59" s="1" t="s">
        <v>55</v>
      </c>
      <c r="C59" s="1" t="s">
        <v>348</v>
      </c>
      <c r="D59" s="1" t="s">
        <v>30</v>
      </c>
      <c r="E59" s="1" t="s">
        <v>105</v>
      </c>
      <c r="F59" s="1" t="s">
        <v>53</v>
      </c>
      <c r="G59" s="2">
        <v>44338</v>
      </c>
      <c r="H59" s="9">
        <v>0.98</v>
      </c>
      <c r="I59" s="2">
        <v>41944</v>
      </c>
      <c r="J59" s="2" t="s">
        <v>55</v>
      </c>
      <c r="K59" s="1">
        <v>6.6</v>
      </c>
      <c r="L59" s="1" t="s">
        <v>56</v>
      </c>
      <c r="M59" s="1" t="s">
        <v>54</v>
      </c>
      <c r="N59" s="1" t="s">
        <v>390</v>
      </c>
      <c r="O59" s="1" t="s">
        <v>390</v>
      </c>
      <c r="P59" s="1" t="s">
        <v>396</v>
      </c>
      <c r="Q59">
        <v>0.96737399999999996</v>
      </c>
      <c r="R59">
        <v>0.87757399999999997</v>
      </c>
      <c r="S59" s="16">
        <v>13.425255999999999</v>
      </c>
      <c r="T59" s="18">
        <v>2106874967</v>
      </c>
      <c r="U59" s="13">
        <f t="shared" si="0"/>
        <v>0.76747966683188329</v>
      </c>
    </row>
    <row r="60" spans="1:21" x14ac:dyDescent="0.2">
      <c r="A60" s="12" t="s">
        <v>206</v>
      </c>
      <c r="B60" s="1" t="s">
        <v>55</v>
      </c>
      <c r="C60" s="1" t="s">
        <v>348</v>
      </c>
      <c r="D60" s="1" t="s">
        <v>30</v>
      </c>
      <c r="E60" s="1" t="s">
        <v>105</v>
      </c>
      <c r="F60" s="1" t="s">
        <v>53</v>
      </c>
      <c r="G60" s="2">
        <v>44338</v>
      </c>
      <c r="H60" s="9">
        <v>0.98</v>
      </c>
      <c r="I60" s="2">
        <v>41944</v>
      </c>
      <c r="J60" s="2" t="s">
        <v>55</v>
      </c>
      <c r="K60" s="1">
        <v>6.6</v>
      </c>
      <c r="L60" s="1" t="s">
        <v>56</v>
      </c>
      <c r="M60" s="1" t="s">
        <v>54</v>
      </c>
      <c r="N60" s="1" t="s">
        <v>390</v>
      </c>
      <c r="O60" s="1" t="s">
        <v>392</v>
      </c>
      <c r="P60" s="1" t="s">
        <v>396</v>
      </c>
      <c r="Q60">
        <v>0.60966799999999999</v>
      </c>
      <c r="R60">
        <v>2.9048999999999998E-2</v>
      </c>
      <c r="S60" s="16">
        <v>1.2195910000000001</v>
      </c>
      <c r="T60" s="18">
        <v>10884040</v>
      </c>
      <c r="U60" s="13">
        <f t="shared" si="0"/>
        <v>3.9647722450654992E-3</v>
      </c>
    </row>
    <row r="61" spans="1:21" x14ac:dyDescent="0.2">
      <c r="A61" s="12" t="s">
        <v>207</v>
      </c>
      <c r="B61" s="1" t="s">
        <v>55</v>
      </c>
      <c r="C61" s="1" t="s">
        <v>348</v>
      </c>
      <c r="D61" s="1" t="s">
        <v>30</v>
      </c>
      <c r="E61" s="1" t="s">
        <v>105</v>
      </c>
      <c r="F61" s="1" t="s">
        <v>53</v>
      </c>
      <c r="G61" s="2">
        <v>44338</v>
      </c>
      <c r="H61" s="9">
        <v>0.98</v>
      </c>
      <c r="I61" s="2">
        <v>41944</v>
      </c>
      <c r="J61" s="2" t="s">
        <v>55</v>
      </c>
      <c r="K61" s="1">
        <v>6.6</v>
      </c>
      <c r="L61" s="1" t="s">
        <v>56</v>
      </c>
      <c r="M61" s="1" t="s">
        <v>54</v>
      </c>
      <c r="N61" s="1" t="s">
        <v>390</v>
      </c>
      <c r="O61" s="1" t="s">
        <v>390</v>
      </c>
      <c r="P61" s="1" t="s">
        <v>396</v>
      </c>
      <c r="Q61">
        <v>0.96091300000000002</v>
      </c>
      <c r="R61">
        <v>0.84461399999999998</v>
      </c>
      <c r="S61" s="16">
        <v>11.939101000000001</v>
      </c>
      <c r="T61" s="18">
        <v>1953040568</v>
      </c>
      <c r="U61" s="13">
        <f t="shared" si="0"/>
        <v>0.71144180262966317</v>
      </c>
    </row>
    <row r="62" spans="1:21" x14ac:dyDescent="0.2">
      <c r="A62" s="12" t="s">
        <v>208</v>
      </c>
      <c r="B62" s="1" t="s">
        <v>55</v>
      </c>
      <c r="C62" s="1" t="s">
        <v>348</v>
      </c>
      <c r="D62" s="1" t="s">
        <v>30</v>
      </c>
      <c r="E62" s="1" t="s">
        <v>105</v>
      </c>
      <c r="F62" s="1" t="s">
        <v>53</v>
      </c>
      <c r="G62" s="2">
        <v>44338</v>
      </c>
      <c r="H62" s="9">
        <v>0.98</v>
      </c>
      <c r="I62" s="2">
        <v>41944</v>
      </c>
      <c r="J62" s="2" t="s">
        <v>55</v>
      </c>
      <c r="K62" s="1">
        <v>6.6</v>
      </c>
      <c r="L62" s="1" t="s">
        <v>56</v>
      </c>
      <c r="M62" s="1" t="s">
        <v>54</v>
      </c>
      <c r="N62" s="1" t="s">
        <v>391</v>
      </c>
      <c r="O62" s="1" t="s">
        <v>391</v>
      </c>
      <c r="P62" s="1" t="s">
        <v>396</v>
      </c>
      <c r="Q62">
        <v>0.95942700000000003</v>
      </c>
      <c r="R62">
        <v>0.82447199999999998</v>
      </c>
      <c r="S62" s="16">
        <v>11.656560000000001</v>
      </c>
      <c r="T62" s="18">
        <v>1857831824</v>
      </c>
      <c r="U62" s="13">
        <f t="shared" si="0"/>
        <v>0.67675973735805939</v>
      </c>
    </row>
    <row r="63" spans="1:21" x14ac:dyDescent="0.2">
      <c r="A63" s="12" t="s">
        <v>209</v>
      </c>
      <c r="B63" s="1" t="s">
        <v>55</v>
      </c>
      <c r="C63" s="1" t="s">
        <v>348</v>
      </c>
      <c r="D63" s="1" t="s">
        <v>30</v>
      </c>
      <c r="E63" s="1" t="s">
        <v>105</v>
      </c>
      <c r="F63" s="1" t="s">
        <v>53</v>
      </c>
      <c r="G63" s="2">
        <v>44338</v>
      </c>
      <c r="H63" s="9">
        <v>0.98</v>
      </c>
      <c r="I63" s="2">
        <v>41944</v>
      </c>
      <c r="J63" s="2" t="s">
        <v>55</v>
      </c>
      <c r="K63" s="1">
        <v>6.6</v>
      </c>
      <c r="L63" s="1" t="s">
        <v>56</v>
      </c>
      <c r="M63" s="1" t="s">
        <v>54</v>
      </c>
      <c r="N63" s="1" t="s">
        <v>391</v>
      </c>
      <c r="O63" s="1" t="s">
        <v>391</v>
      </c>
      <c r="P63" s="1" t="s">
        <v>396</v>
      </c>
      <c r="Q63">
        <v>0.95147499999999996</v>
      </c>
      <c r="R63">
        <v>0.83831100000000003</v>
      </c>
      <c r="S63" s="16">
        <v>12.14329</v>
      </c>
      <c r="T63" s="18">
        <v>1958055301</v>
      </c>
      <c r="U63" s="13">
        <f t="shared" si="0"/>
        <v>0.7132685392288316</v>
      </c>
    </row>
    <row r="64" spans="1:21" x14ac:dyDescent="0.2">
      <c r="A64" s="12" t="s">
        <v>210</v>
      </c>
      <c r="B64" s="1" t="s">
        <v>55</v>
      </c>
      <c r="C64" s="1" t="s">
        <v>348</v>
      </c>
      <c r="D64" s="1" t="s">
        <v>30</v>
      </c>
      <c r="E64" s="1" t="s">
        <v>105</v>
      </c>
      <c r="F64" s="1" t="s">
        <v>53</v>
      </c>
      <c r="G64" s="2">
        <v>44338</v>
      </c>
      <c r="H64" s="9">
        <v>0.98</v>
      </c>
      <c r="I64" s="2">
        <v>41944</v>
      </c>
      <c r="J64" s="2" t="s">
        <v>55</v>
      </c>
      <c r="K64" s="1">
        <v>6.6</v>
      </c>
      <c r="L64" s="1" t="s">
        <v>56</v>
      </c>
      <c r="M64" s="1" t="s">
        <v>54</v>
      </c>
      <c r="N64" s="1" t="s">
        <v>391</v>
      </c>
      <c r="O64" s="1" t="s">
        <v>391</v>
      </c>
      <c r="P64" s="1" t="s">
        <v>396</v>
      </c>
      <c r="Q64">
        <v>0.95645899999999995</v>
      </c>
      <c r="R64">
        <v>0.85688600000000004</v>
      </c>
      <c r="S64" s="16">
        <v>13.635998000000001</v>
      </c>
      <c r="T64" s="18">
        <v>2049783942</v>
      </c>
      <c r="U64" s="13">
        <f t="shared" si="0"/>
        <v>0.74668289363348073</v>
      </c>
    </row>
    <row r="65" spans="1:21" x14ac:dyDescent="0.2">
      <c r="A65" s="12" t="s">
        <v>211</v>
      </c>
      <c r="B65" s="1" t="s">
        <v>55</v>
      </c>
      <c r="C65" s="1" t="s">
        <v>348</v>
      </c>
      <c r="D65" s="1" t="s">
        <v>30</v>
      </c>
      <c r="E65" s="1" t="s">
        <v>105</v>
      </c>
      <c r="F65" s="1" t="s">
        <v>53</v>
      </c>
      <c r="G65" s="2">
        <v>44338</v>
      </c>
      <c r="H65" s="9">
        <v>0.98</v>
      </c>
      <c r="I65" s="2">
        <v>41944</v>
      </c>
      <c r="J65" s="2" t="s">
        <v>55</v>
      </c>
      <c r="K65" s="1">
        <v>6.6</v>
      </c>
      <c r="L65" s="1" t="s">
        <v>56</v>
      </c>
      <c r="M65" s="1" t="s">
        <v>54</v>
      </c>
      <c r="N65" s="1" t="s">
        <v>391</v>
      </c>
      <c r="O65" s="1" t="s">
        <v>391</v>
      </c>
      <c r="P65" s="1" t="s">
        <v>396</v>
      </c>
      <c r="Q65">
        <v>0.95652999999999999</v>
      </c>
      <c r="R65">
        <v>0.84128199999999997</v>
      </c>
      <c r="S65" s="16">
        <v>12.384565</v>
      </c>
      <c r="T65" s="18">
        <v>1954470104</v>
      </c>
      <c r="U65" s="13">
        <f t="shared" si="0"/>
        <v>0.71196254535535342</v>
      </c>
    </row>
    <row r="66" spans="1:21" x14ac:dyDescent="0.2">
      <c r="A66" s="12" t="s">
        <v>212</v>
      </c>
      <c r="B66" s="1" t="s">
        <v>55</v>
      </c>
      <c r="C66" s="1" t="s">
        <v>348</v>
      </c>
      <c r="D66" s="1" t="s">
        <v>30</v>
      </c>
      <c r="E66" s="1" t="s">
        <v>105</v>
      </c>
      <c r="F66" s="1" t="s">
        <v>53</v>
      </c>
      <c r="G66" s="2">
        <v>44338</v>
      </c>
      <c r="H66" s="9">
        <v>0.98</v>
      </c>
      <c r="I66" s="2">
        <v>41944</v>
      </c>
      <c r="J66" s="2" t="s">
        <v>55</v>
      </c>
      <c r="K66" s="1">
        <v>6.6</v>
      </c>
      <c r="L66" s="1" t="s">
        <v>56</v>
      </c>
      <c r="M66" s="1" t="s">
        <v>54</v>
      </c>
      <c r="N66" s="1" t="s">
        <v>392</v>
      </c>
      <c r="O66" s="1" t="s">
        <v>392</v>
      </c>
      <c r="P66" s="1" t="s">
        <v>396</v>
      </c>
      <c r="Q66">
        <v>0.90663899999999997</v>
      </c>
      <c r="R66">
        <v>0.76218699999999995</v>
      </c>
      <c r="S66" s="16">
        <v>12.027931000000001</v>
      </c>
      <c r="T66" s="18">
        <v>1799064850</v>
      </c>
      <c r="U66" s="13">
        <f t="shared" si="0"/>
        <v>0.655352459597073</v>
      </c>
    </row>
    <row r="67" spans="1:21" x14ac:dyDescent="0.2">
      <c r="A67" s="12" t="s">
        <v>213</v>
      </c>
      <c r="B67" s="1" t="s">
        <v>55</v>
      </c>
      <c r="C67" s="1" t="s">
        <v>348</v>
      </c>
      <c r="D67" s="1" t="s">
        <v>30</v>
      </c>
      <c r="E67" s="1" t="s">
        <v>105</v>
      </c>
      <c r="F67" s="1" t="s">
        <v>53</v>
      </c>
      <c r="G67" s="2">
        <v>44338</v>
      </c>
      <c r="H67" s="9">
        <v>0.98</v>
      </c>
      <c r="I67" s="2">
        <v>41944</v>
      </c>
      <c r="J67" s="2" t="s">
        <v>55</v>
      </c>
      <c r="K67" s="1">
        <v>6.6</v>
      </c>
      <c r="L67" s="1" t="s">
        <v>56</v>
      </c>
      <c r="M67" s="1" t="s">
        <v>54</v>
      </c>
      <c r="N67" s="1" t="s">
        <v>390</v>
      </c>
      <c r="O67" s="1" t="s">
        <v>390</v>
      </c>
      <c r="P67" s="1" t="s">
        <v>396</v>
      </c>
      <c r="Q67">
        <v>0.96537899999999999</v>
      </c>
      <c r="R67">
        <v>0.84970599999999996</v>
      </c>
      <c r="S67" s="16">
        <v>11.194832999999999</v>
      </c>
      <c r="T67" s="18">
        <v>1924781634</v>
      </c>
      <c r="U67" s="13">
        <f t="shared" ref="U67:U69" si="1">T67/2745186691</f>
        <v>0.70114780911270269</v>
      </c>
    </row>
    <row r="68" spans="1:21" x14ac:dyDescent="0.2">
      <c r="A68" s="12" t="s">
        <v>214</v>
      </c>
      <c r="B68" s="1" t="s">
        <v>55</v>
      </c>
      <c r="C68" s="1" t="s">
        <v>348</v>
      </c>
      <c r="D68" s="1" t="s">
        <v>30</v>
      </c>
      <c r="E68" s="1" t="s">
        <v>105</v>
      </c>
      <c r="F68" s="1" t="s">
        <v>53</v>
      </c>
      <c r="G68" s="2">
        <v>44338</v>
      </c>
      <c r="H68" s="9">
        <v>0.98</v>
      </c>
      <c r="I68" s="2">
        <v>41944</v>
      </c>
      <c r="J68" s="2" t="s">
        <v>55</v>
      </c>
      <c r="K68" s="1">
        <v>6.6</v>
      </c>
      <c r="L68" s="1" t="s">
        <v>56</v>
      </c>
      <c r="M68" s="1" t="s">
        <v>54</v>
      </c>
      <c r="N68" s="1" t="s">
        <v>390</v>
      </c>
      <c r="O68" s="1" t="s">
        <v>390</v>
      </c>
      <c r="P68" s="1" t="s">
        <v>396</v>
      </c>
      <c r="Q68">
        <v>0.96463399999999999</v>
      </c>
      <c r="R68">
        <v>0.87871100000000002</v>
      </c>
      <c r="S68" s="16">
        <v>13.141826999999999</v>
      </c>
      <c r="T68" s="18">
        <v>2121193152</v>
      </c>
      <c r="U68" s="13">
        <f t="shared" si="1"/>
        <v>0.7726954086416995</v>
      </c>
    </row>
    <row r="69" spans="1:21" x14ac:dyDescent="0.2">
      <c r="A69" s="12" t="s">
        <v>215</v>
      </c>
      <c r="B69" s="1" t="s">
        <v>55</v>
      </c>
      <c r="C69" s="1" t="s">
        <v>348</v>
      </c>
      <c r="D69" s="1" t="s">
        <v>30</v>
      </c>
      <c r="E69" s="1" t="s">
        <v>105</v>
      </c>
      <c r="F69" s="1" t="s">
        <v>53</v>
      </c>
      <c r="G69" s="2">
        <v>44338</v>
      </c>
      <c r="H69" s="9">
        <v>0.98</v>
      </c>
      <c r="I69" s="2">
        <v>41944</v>
      </c>
      <c r="J69" s="2" t="s">
        <v>55</v>
      </c>
      <c r="K69" s="1">
        <v>6.6</v>
      </c>
      <c r="L69" s="1" t="s">
        <v>56</v>
      </c>
      <c r="M69" s="1" t="s">
        <v>54</v>
      </c>
      <c r="N69" s="1" t="s">
        <v>390</v>
      </c>
      <c r="O69" s="1" t="s">
        <v>390</v>
      </c>
      <c r="P69" s="1" t="s">
        <v>396</v>
      </c>
      <c r="Q69">
        <v>0.96372599999999997</v>
      </c>
      <c r="R69">
        <v>0.82137899999999997</v>
      </c>
      <c r="S69" s="16">
        <v>9.8173169999999992</v>
      </c>
      <c r="T69" s="18">
        <v>1772238355</v>
      </c>
      <c r="U69" s="13">
        <f t="shared" si="1"/>
        <v>0.6455802662930803</v>
      </c>
    </row>
    <row r="70" spans="1:21" x14ac:dyDescent="0.2">
      <c r="A70" s="12" t="s">
        <v>216</v>
      </c>
      <c r="B70" s="1" t="s">
        <v>55</v>
      </c>
      <c r="C70" s="1" t="s">
        <v>348</v>
      </c>
      <c r="D70" s="1" t="s">
        <v>30</v>
      </c>
      <c r="E70" s="1" t="s">
        <v>105</v>
      </c>
      <c r="F70" s="1" t="s">
        <v>53</v>
      </c>
      <c r="G70" s="2">
        <v>44338</v>
      </c>
      <c r="H70" s="9">
        <v>0.98</v>
      </c>
      <c r="I70" s="2">
        <v>41944</v>
      </c>
      <c r="J70" s="2" t="s">
        <v>55</v>
      </c>
      <c r="K70" s="1">
        <v>6.6</v>
      </c>
      <c r="L70" s="1" t="s">
        <v>56</v>
      </c>
      <c r="M70" s="1" t="s">
        <v>54</v>
      </c>
      <c r="N70" s="1" t="s">
        <v>391</v>
      </c>
      <c r="O70" s="1" t="s">
        <v>391</v>
      </c>
      <c r="P70" s="1" t="s">
        <v>396</v>
      </c>
      <c r="Q70">
        <v>0.96564499999999998</v>
      </c>
      <c r="R70">
        <v>0.86766200000000004</v>
      </c>
      <c r="S70" s="16">
        <v>14.078424</v>
      </c>
      <c r="T70" s="18">
        <v>2072416219</v>
      </c>
      <c r="U70" s="13">
        <f>T70/2745186691</f>
        <v>0.75492724257856314</v>
      </c>
    </row>
    <row r="71" spans="1:21" x14ac:dyDescent="0.2">
      <c r="A71" s="12" t="s">
        <v>217</v>
      </c>
      <c r="B71" s="1" t="s">
        <v>55</v>
      </c>
      <c r="C71" s="1" t="s">
        <v>348</v>
      </c>
      <c r="D71" s="1" t="s">
        <v>30</v>
      </c>
      <c r="E71" s="1" t="s">
        <v>105</v>
      </c>
      <c r="F71" s="1" t="s">
        <v>53</v>
      </c>
      <c r="G71" s="2">
        <v>44338</v>
      </c>
      <c r="H71" s="9">
        <v>0.98</v>
      </c>
      <c r="I71" s="2">
        <v>41944</v>
      </c>
      <c r="J71" s="2" t="s">
        <v>55</v>
      </c>
      <c r="K71" s="1">
        <v>6.6</v>
      </c>
      <c r="L71" s="1" t="s">
        <v>56</v>
      </c>
      <c r="M71" s="1" t="s">
        <v>54</v>
      </c>
      <c r="N71" s="1" t="s">
        <v>390</v>
      </c>
      <c r="O71" s="1" t="s">
        <v>390</v>
      </c>
      <c r="P71" s="1" t="s">
        <v>396</v>
      </c>
      <c r="Q71">
        <v>0.96552700000000002</v>
      </c>
      <c r="R71">
        <v>0.84756299999999996</v>
      </c>
      <c r="S71" s="16">
        <v>10.802906</v>
      </c>
      <c r="T71" s="18">
        <v>1908259978</v>
      </c>
      <c r="U71" s="13">
        <f t="shared" ref="U71:U97" si="2">T71/2745186691</f>
        <v>0.69512940021753877</v>
      </c>
    </row>
    <row r="72" spans="1:21" x14ac:dyDescent="0.2">
      <c r="A72" s="12" t="s">
        <v>218</v>
      </c>
      <c r="B72" s="1" t="s">
        <v>55</v>
      </c>
      <c r="C72" s="1" t="s">
        <v>348</v>
      </c>
      <c r="D72" s="1" t="s">
        <v>30</v>
      </c>
      <c r="E72" s="1" t="s">
        <v>105</v>
      </c>
      <c r="F72" s="1" t="s">
        <v>53</v>
      </c>
      <c r="G72" s="2">
        <v>44338</v>
      </c>
      <c r="H72" s="9">
        <v>0.98</v>
      </c>
      <c r="I72" s="2">
        <v>41944</v>
      </c>
      <c r="J72" s="2" t="s">
        <v>55</v>
      </c>
      <c r="K72" s="1">
        <v>6.6</v>
      </c>
      <c r="L72" s="1" t="s">
        <v>56</v>
      </c>
      <c r="M72" s="1" t="s">
        <v>54</v>
      </c>
      <c r="N72" s="1" t="s">
        <v>390</v>
      </c>
      <c r="O72" s="1" t="s">
        <v>390</v>
      </c>
      <c r="P72" s="1" t="s">
        <v>396</v>
      </c>
      <c r="Q72">
        <v>0.93257100000000004</v>
      </c>
      <c r="R72">
        <v>0.53182799999999997</v>
      </c>
      <c r="S72" s="16">
        <v>5.3535060000000003</v>
      </c>
      <c r="T72" s="18">
        <v>804793590</v>
      </c>
      <c r="U72" s="13">
        <f t="shared" si="2"/>
        <v>0.29316534013460288</v>
      </c>
    </row>
    <row r="73" spans="1:21" x14ac:dyDescent="0.2">
      <c r="A73" s="12" t="s">
        <v>219</v>
      </c>
      <c r="B73" s="1" t="s">
        <v>55</v>
      </c>
      <c r="C73" s="1" t="s">
        <v>348</v>
      </c>
      <c r="D73" s="1" t="s">
        <v>30</v>
      </c>
      <c r="E73" s="1" t="s">
        <v>105</v>
      </c>
      <c r="F73" s="1" t="s">
        <v>53</v>
      </c>
      <c r="G73" s="2">
        <v>44338</v>
      </c>
      <c r="H73" s="9">
        <v>0.98</v>
      </c>
      <c r="I73" s="2">
        <v>41944</v>
      </c>
      <c r="J73" s="2" t="s">
        <v>55</v>
      </c>
      <c r="K73" s="1">
        <v>6.6</v>
      </c>
      <c r="L73" s="1" t="s">
        <v>56</v>
      </c>
      <c r="M73" s="1" t="s">
        <v>54</v>
      </c>
      <c r="N73" s="1" t="s">
        <v>390</v>
      </c>
      <c r="O73" s="1" t="s">
        <v>390</v>
      </c>
      <c r="P73" s="1" t="s">
        <v>396</v>
      </c>
      <c r="Q73">
        <v>0.95752999999999999</v>
      </c>
      <c r="R73">
        <v>0.81609500000000001</v>
      </c>
      <c r="S73" s="16">
        <v>11.637718</v>
      </c>
      <c r="T73" s="18">
        <v>1860079084</v>
      </c>
      <c r="U73" s="13">
        <f t="shared" si="2"/>
        <v>0.6775783556354128</v>
      </c>
    </row>
    <row r="74" spans="1:21" x14ac:dyDescent="0.2">
      <c r="A74" s="12" t="s">
        <v>220</v>
      </c>
      <c r="B74" s="1" t="s">
        <v>55</v>
      </c>
      <c r="C74" s="1" t="s">
        <v>348</v>
      </c>
      <c r="D74" s="1" t="s">
        <v>30</v>
      </c>
      <c r="E74" s="1" t="s">
        <v>105</v>
      </c>
      <c r="F74" s="1" t="s">
        <v>53</v>
      </c>
      <c r="G74" s="2">
        <v>44338</v>
      </c>
      <c r="H74" s="9">
        <v>0.98</v>
      </c>
      <c r="I74" s="2">
        <v>41944</v>
      </c>
      <c r="J74" s="2" t="s">
        <v>55</v>
      </c>
      <c r="K74" s="1">
        <v>6.6</v>
      </c>
      <c r="L74" s="1" t="s">
        <v>56</v>
      </c>
      <c r="M74" s="1" t="s">
        <v>54</v>
      </c>
      <c r="N74" s="1" t="s">
        <v>392</v>
      </c>
      <c r="O74" s="1" t="s">
        <v>392</v>
      </c>
      <c r="P74" s="1" t="s">
        <v>396</v>
      </c>
      <c r="Q74">
        <v>0.86859799999999998</v>
      </c>
      <c r="R74">
        <v>0.72797000000000001</v>
      </c>
      <c r="S74" s="16">
        <v>12.573665999999999</v>
      </c>
      <c r="T74" s="18">
        <v>1705868643</v>
      </c>
      <c r="U74" s="13">
        <f t="shared" si="2"/>
        <v>0.62140350912840703</v>
      </c>
    </row>
    <row r="75" spans="1:21" x14ac:dyDescent="0.2">
      <c r="A75" s="12" t="s">
        <v>221</v>
      </c>
      <c r="B75" s="1" t="s">
        <v>55</v>
      </c>
      <c r="C75" s="1" t="s">
        <v>348</v>
      </c>
      <c r="D75" s="1" t="s">
        <v>30</v>
      </c>
      <c r="E75" s="1" t="s">
        <v>105</v>
      </c>
      <c r="F75" s="1" t="s">
        <v>53</v>
      </c>
      <c r="G75" s="2">
        <v>44338</v>
      </c>
      <c r="H75" s="9">
        <v>0.98</v>
      </c>
      <c r="I75" s="2">
        <v>41944</v>
      </c>
      <c r="J75" s="2" t="s">
        <v>55</v>
      </c>
      <c r="K75" s="1">
        <v>6.6</v>
      </c>
      <c r="L75" s="1" t="s">
        <v>56</v>
      </c>
      <c r="M75" s="1" t="s">
        <v>54</v>
      </c>
      <c r="N75" s="1" t="s">
        <v>390</v>
      </c>
      <c r="O75" s="1" t="s">
        <v>390</v>
      </c>
      <c r="P75" s="1" t="s">
        <v>396</v>
      </c>
      <c r="Q75">
        <v>0.96671899999999999</v>
      </c>
      <c r="R75">
        <v>0.88066500000000003</v>
      </c>
      <c r="S75" s="16">
        <v>13.839782</v>
      </c>
      <c r="T75" s="18">
        <v>2143901066</v>
      </c>
      <c r="U75" s="13">
        <f t="shared" si="2"/>
        <v>0.7809673101755541</v>
      </c>
    </row>
    <row r="76" spans="1:21" x14ac:dyDescent="0.2">
      <c r="A76" s="12" t="s">
        <v>222</v>
      </c>
      <c r="B76" s="1" t="s">
        <v>55</v>
      </c>
      <c r="C76" s="1" t="s">
        <v>348</v>
      </c>
      <c r="D76" s="1" t="s">
        <v>30</v>
      </c>
      <c r="E76" s="1" t="s">
        <v>105</v>
      </c>
      <c r="F76" s="1" t="s">
        <v>53</v>
      </c>
      <c r="G76" s="2">
        <v>44338</v>
      </c>
      <c r="H76" s="9">
        <v>0.98</v>
      </c>
      <c r="I76" s="2">
        <v>41944</v>
      </c>
      <c r="J76" s="2" t="s">
        <v>55</v>
      </c>
      <c r="K76" s="1">
        <v>6.6</v>
      </c>
      <c r="L76" s="1" t="s">
        <v>56</v>
      </c>
      <c r="M76" s="1" t="s">
        <v>54</v>
      </c>
      <c r="N76" s="1" t="s">
        <v>390</v>
      </c>
      <c r="O76" s="1" t="s">
        <v>390</v>
      </c>
      <c r="P76" s="1" t="s">
        <v>396</v>
      </c>
      <c r="Q76">
        <v>0.96076600000000001</v>
      </c>
      <c r="R76">
        <v>0.82695099999999999</v>
      </c>
      <c r="S76" s="16">
        <v>10.961383</v>
      </c>
      <c r="T76" s="18">
        <v>1873629450</v>
      </c>
      <c r="U76" s="13">
        <f t="shared" si="2"/>
        <v>0.68251440098505123</v>
      </c>
    </row>
    <row r="77" spans="1:21" x14ac:dyDescent="0.2">
      <c r="A77" s="12" t="s">
        <v>223</v>
      </c>
      <c r="B77" s="1" t="s">
        <v>55</v>
      </c>
      <c r="C77" s="1" t="s">
        <v>348</v>
      </c>
      <c r="D77" s="1" t="s">
        <v>30</v>
      </c>
      <c r="E77" s="1" t="s">
        <v>105</v>
      </c>
      <c r="F77" s="1" t="s">
        <v>53</v>
      </c>
      <c r="G77" s="2">
        <v>44338</v>
      </c>
      <c r="H77" s="9">
        <v>0.98</v>
      </c>
      <c r="I77" s="2">
        <v>41944</v>
      </c>
      <c r="J77" s="2" t="s">
        <v>55</v>
      </c>
      <c r="K77" s="1">
        <v>6.6</v>
      </c>
      <c r="L77" s="1" t="s">
        <v>56</v>
      </c>
      <c r="M77" s="1" t="s">
        <v>54</v>
      </c>
      <c r="N77" s="1" t="s">
        <v>391</v>
      </c>
      <c r="O77" s="1" t="s">
        <v>391</v>
      </c>
      <c r="P77" s="1" t="s">
        <v>396</v>
      </c>
      <c r="Q77">
        <v>0.95849300000000004</v>
      </c>
      <c r="R77">
        <v>0.85140400000000005</v>
      </c>
      <c r="S77" s="16">
        <v>12.528862</v>
      </c>
      <c r="T77" s="18">
        <v>2008462793</v>
      </c>
      <c r="U77" s="13">
        <f t="shared" si="2"/>
        <v>0.73163067545995175</v>
      </c>
    </row>
    <row r="78" spans="1:21" x14ac:dyDescent="0.2">
      <c r="A78" s="12" t="s">
        <v>224</v>
      </c>
      <c r="B78" s="1" t="s">
        <v>55</v>
      </c>
      <c r="C78" s="1" t="s">
        <v>348</v>
      </c>
      <c r="D78" s="1" t="s">
        <v>30</v>
      </c>
      <c r="E78" s="1" t="s">
        <v>105</v>
      </c>
      <c r="F78" s="1" t="s">
        <v>53</v>
      </c>
      <c r="G78" s="2">
        <v>44338</v>
      </c>
      <c r="H78" s="9">
        <v>0.98</v>
      </c>
      <c r="I78" s="2">
        <v>41944</v>
      </c>
      <c r="J78" s="2" t="s">
        <v>55</v>
      </c>
      <c r="K78" s="1">
        <v>6.6</v>
      </c>
      <c r="L78" s="1" t="s">
        <v>56</v>
      </c>
      <c r="M78" s="1" t="s">
        <v>54</v>
      </c>
      <c r="N78" s="1" t="s">
        <v>391</v>
      </c>
      <c r="O78" s="1" t="s">
        <v>391</v>
      </c>
      <c r="P78" s="1" t="s">
        <v>396</v>
      </c>
      <c r="Q78">
        <v>0.95881000000000005</v>
      </c>
      <c r="R78">
        <v>0.84500900000000001</v>
      </c>
      <c r="S78" s="16">
        <v>12.186681</v>
      </c>
      <c r="T78" s="18">
        <v>1978859270</v>
      </c>
      <c r="U78" s="13">
        <f t="shared" si="2"/>
        <v>0.72084688319654977</v>
      </c>
    </row>
    <row r="79" spans="1:21" x14ac:dyDescent="0.2">
      <c r="A79" s="12" t="s">
        <v>225</v>
      </c>
      <c r="B79" s="1" t="s">
        <v>55</v>
      </c>
      <c r="C79" s="1" t="s">
        <v>348</v>
      </c>
      <c r="D79" s="1" t="s">
        <v>30</v>
      </c>
      <c r="E79" s="1" t="s">
        <v>105</v>
      </c>
      <c r="F79" s="1" t="s">
        <v>53</v>
      </c>
      <c r="G79" s="2">
        <v>44338</v>
      </c>
      <c r="H79" s="9">
        <v>0.98</v>
      </c>
      <c r="I79" s="2">
        <v>41944</v>
      </c>
      <c r="J79" s="2" t="s">
        <v>55</v>
      </c>
      <c r="K79" s="1">
        <v>6.6</v>
      </c>
      <c r="L79" s="1" t="s">
        <v>56</v>
      </c>
      <c r="M79" s="1" t="s">
        <v>54</v>
      </c>
      <c r="N79" s="1" t="s">
        <v>390</v>
      </c>
      <c r="O79" s="1" t="s">
        <v>390</v>
      </c>
      <c r="P79" s="1" t="s">
        <v>396</v>
      </c>
      <c r="Q79">
        <v>0.96609199999999995</v>
      </c>
      <c r="R79">
        <v>0.86667099999999997</v>
      </c>
      <c r="S79" s="16">
        <v>12.341856999999999</v>
      </c>
      <c r="T79" s="18">
        <v>2040567501</v>
      </c>
      <c r="U79" s="13">
        <f t="shared" si="2"/>
        <v>0.7433255842635148</v>
      </c>
    </row>
    <row r="80" spans="1:21" x14ac:dyDescent="0.2">
      <c r="A80" s="12" t="s">
        <v>226</v>
      </c>
      <c r="B80" s="1" t="s">
        <v>55</v>
      </c>
      <c r="C80" s="1" t="s">
        <v>348</v>
      </c>
      <c r="D80" s="1" t="s">
        <v>30</v>
      </c>
      <c r="E80" s="1" t="s">
        <v>105</v>
      </c>
      <c r="F80" s="1" t="s">
        <v>53</v>
      </c>
      <c r="G80" s="2">
        <v>44338</v>
      </c>
      <c r="H80" s="9">
        <v>0.98</v>
      </c>
      <c r="I80" s="2">
        <v>41944</v>
      </c>
      <c r="J80" s="2" t="s">
        <v>55</v>
      </c>
      <c r="K80" s="1">
        <v>6.6</v>
      </c>
      <c r="L80" s="1" t="s">
        <v>56</v>
      </c>
      <c r="M80" s="1" t="s">
        <v>54</v>
      </c>
      <c r="N80" s="1" t="s">
        <v>391</v>
      </c>
      <c r="O80" s="1" t="s">
        <v>391</v>
      </c>
      <c r="P80" s="1" t="s">
        <v>396</v>
      </c>
      <c r="Q80">
        <v>0.96248900000000004</v>
      </c>
      <c r="R80">
        <v>0.85899700000000001</v>
      </c>
      <c r="S80" s="16">
        <v>12.193139</v>
      </c>
      <c r="T80" s="18">
        <v>2014538521</v>
      </c>
      <c r="U80" s="13">
        <f t="shared" si="2"/>
        <v>0.73384390489892548</v>
      </c>
    </row>
    <row r="81" spans="1:21" x14ac:dyDescent="0.2">
      <c r="A81" s="12" t="s">
        <v>227</v>
      </c>
      <c r="B81" s="1" t="s">
        <v>55</v>
      </c>
      <c r="C81" s="1" t="s">
        <v>348</v>
      </c>
      <c r="D81" s="1" t="s">
        <v>30</v>
      </c>
      <c r="E81" s="1" t="s">
        <v>105</v>
      </c>
      <c r="F81" s="1" t="s">
        <v>53</v>
      </c>
      <c r="G81" s="2">
        <v>44338</v>
      </c>
      <c r="H81" s="9">
        <v>0.98</v>
      </c>
      <c r="I81" s="2">
        <v>41944</v>
      </c>
      <c r="J81" s="2" t="s">
        <v>55</v>
      </c>
      <c r="K81" s="1">
        <v>6.6</v>
      </c>
      <c r="L81" s="1" t="s">
        <v>56</v>
      </c>
      <c r="M81" s="1" t="s">
        <v>54</v>
      </c>
      <c r="N81" s="1" t="s">
        <v>390</v>
      </c>
      <c r="O81" s="1" t="s">
        <v>390</v>
      </c>
      <c r="P81" s="1" t="s">
        <v>396</v>
      </c>
      <c r="Q81">
        <v>0.96348500000000004</v>
      </c>
      <c r="R81">
        <v>0.86549299999999996</v>
      </c>
      <c r="S81" s="16">
        <v>12.197626</v>
      </c>
      <c r="T81" s="18">
        <v>2046572233</v>
      </c>
      <c r="U81" s="13">
        <f t="shared" si="2"/>
        <v>0.74551295170911924</v>
      </c>
    </row>
    <row r="82" spans="1:21" x14ac:dyDescent="0.2">
      <c r="A82" s="12" t="s">
        <v>228</v>
      </c>
      <c r="B82" s="1" t="s">
        <v>55</v>
      </c>
      <c r="C82" s="1" t="s">
        <v>348</v>
      </c>
      <c r="D82" s="1" t="s">
        <v>30</v>
      </c>
      <c r="E82" s="1" t="s">
        <v>105</v>
      </c>
      <c r="F82" s="1" t="s">
        <v>53</v>
      </c>
      <c r="G82" s="2">
        <v>44338</v>
      </c>
      <c r="H82" s="9">
        <v>0.98</v>
      </c>
      <c r="I82" s="2">
        <v>41944</v>
      </c>
      <c r="J82" s="2" t="s">
        <v>55</v>
      </c>
      <c r="K82" s="1">
        <v>6.6</v>
      </c>
      <c r="L82" s="1" t="s">
        <v>56</v>
      </c>
      <c r="M82" s="1" t="s">
        <v>54</v>
      </c>
      <c r="N82" s="1" t="s">
        <v>391</v>
      </c>
      <c r="O82" s="1" t="s">
        <v>391</v>
      </c>
      <c r="P82" s="1" t="s">
        <v>396</v>
      </c>
      <c r="Q82">
        <v>0.96062999999999998</v>
      </c>
      <c r="R82">
        <v>0.83682400000000001</v>
      </c>
      <c r="S82" s="16">
        <v>11.080019</v>
      </c>
      <c r="T82" s="18">
        <v>1921784472</v>
      </c>
      <c r="U82" s="13">
        <f t="shared" si="2"/>
        <v>0.70005602107153742</v>
      </c>
    </row>
    <row r="83" spans="1:21" x14ac:dyDescent="0.2">
      <c r="A83" s="12" t="s">
        <v>229</v>
      </c>
      <c r="B83" s="1" t="s">
        <v>55</v>
      </c>
      <c r="C83" s="1" t="s">
        <v>348</v>
      </c>
      <c r="D83" s="1" t="s">
        <v>30</v>
      </c>
      <c r="E83" s="1" t="s">
        <v>105</v>
      </c>
      <c r="F83" s="1" t="s">
        <v>53</v>
      </c>
      <c r="G83" s="2">
        <v>44338</v>
      </c>
      <c r="H83" s="9">
        <v>0.98</v>
      </c>
      <c r="I83" s="2">
        <v>41944</v>
      </c>
      <c r="J83" s="2" t="s">
        <v>55</v>
      </c>
      <c r="K83" s="1">
        <v>6.6</v>
      </c>
      <c r="L83" s="1" t="s">
        <v>56</v>
      </c>
      <c r="M83" s="1" t="s">
        <v>54</v>
      </c>
      <c r="N83" s="1" t="s">
        <v>391</v>
      </c>
      <c r="O83" s="1" t="s">
        <v>391</v>
      </c>
      <c r="P83" s="1" t="s">
        <v>396</v>
      </c>
      <c r="Q83">
        <v>0.92330999999999996</v>
      </c>
      <c r="R83">
        <v>0.79005899999999996</v>
      </c>
      <c r="S83" s="16">
        <v>11.328196</v>
      </c>
      <c r="T83" s="18">
        <v>1836150422</v>
      </c>
      <c r="U83" s="13">
        <f t="shared" si="2"/>
        <v>0.66886176740538483</v>
      </c>
    </row>
    <row r="84" spans="1:21" x14ac:dyDescent="0.2">
      <c r="A84" s="12" t="s">
        <v>230</v>
      </c>
      <c r="B84" s="1" t="s">
        <v>55</v>
      </c>
      <c r="C84" s="1" t="s">
        <v>348</v>
      </c>
      <c r="D84" s="1" t="s">
        <v>30</v>
      </c>
      <c r="E84" s="1" t="s">
        <v>105</v>
      </c>
      <c r="F84" s="1" t="s">
        <v>53</v>
      </c>
      <c r="G84" s="2">
        <v>44338</v>
      </c>
      <c r="H84" s="9">
        <v>0.98</v>
      </c>
      <c r="I84" s="2">
        <v>41944</v>
      </c>
      <c r="J84" s="2" t="s">
        <v>55</v>
      </c>
      <c r="K84" s="1">
        <v>6.6</v>
      </c>
      <c r="L84" s="1" t="s">
        <v>56</v>
      </c>
      <c r="M84" s="1" t="s">
        <v>54</v>
      </c>
      <c r="N84" s="1" t="s">
        <v>392</v>
      </c>
      <c r="O84" s="1" t="s">
        <v>392</v>
      </c>
      <c r="P84" s="1" t="s">
        <v>396</v>
      </c>
      <c r="Q84">
        <v>0.50114199999999998</v>
      </c>
      <c r="R84">
        <v>6.3533000000000006E-2</v>
      </c>
      <c r="S84" s="16">
        <v>1.274702</v>
      </c>
      <c r="T84" s="18">
        <v>40506740</v>
      </c>
      <c r="U84" s="13">
        <f t="shared" si="2"/>
        <v>1.4755550190010739E-2</v>
      </c>
    </row>
    <row r="85" spans="1:21" x14ac:dyDescent="0.2">
      <c r="A85" s="12" t="s">
        <v>231</v>
      </c>
      <c r="B85" s="1" t="s">
        <v>55</v>
      </c>
      <c r="C85" s="1" t="s">
        <v>348</v>
      </c>
      <c r="D85" s="1" t="s">
        <v>30</v>
      </c>
      <c r="E85" s="1" t="s">
        <v>105</v>
      </c>
      <c r="F85" s="1" t="s">
        <v>53</v>
      </c>
      <c r="G85" s="2">
        <v>44338</v>
      </c>
      <c r="H85" s="9">
        <v>0.98</v>
      </c>
      <c r="I85" s="2">
        <v>41944</v>
      </c>
      <c r="J85" s="2" t="s">
        <v>55</v>
      </c>
      <c r="K85" s="1">
        <v>6.6</v>
      </c>
      <c r="L85" s="1" t="s">
        <v>56</v>
      </c>
      <c r="M85" s="1" t="s">
        <v>54</v>
      </c>
      <c r="N85" s="1" t="s">
        <v>392</v>
      </c>
      <c r="O85" s="1" t="s">
        <v>392</v>
      </c>
      <c r="P85" s="1" t="s">
        <v>396</v>
      </c>
      <c r="Q85">
        <v>0.87042900000000001</v>
      </c>
      <c r="R85">
        <v>0.68196599999999996</v>
      </c>
      <c r="S85" s="16">
        <v>10.475972000000001</v>
      </c>
      <c r="T85" s="18">
        <v>1522193211</v>
      </c>
      <c r="U85" s="13">
        <f t="shared" si="2"/>
        <v>0.55449533395687001</v>
      </c>
    </row>
    <row r="86" spans="1:21" x14ac:dyDescent="0.2">
      <c r="A86" s="12" t="s">
        <v>232</v>
      </c>
      <c r="B86" s="1" t="s">
        <v>55</v>
      </c>
      <c r="C86" s="1" t="s">
        <v>348</v>
      </c>
      <c r="D86" s="1" t="s">
        <v>30</v>
      </c>
      <c r="E86" s="1" t="s">
        <v>105</v>
      </c>
      <c r="F86" s="1" t="s">
        <v>53</v>
      </c>
      <c r="G86" s="2">
        <v>44338</v>
      </c>
      <c r="H86" s="9">
        <v>0.98</v>
      </c>
      <c r="I86" s="2">
        <v>41944</v>
      </c>
      <c r="J86" s="2" t="s">
        <v>55</v>
      </c>
      <c r="K86" s="1">
        <v>6.6</v>
      </c>
      <c r="L86" s="1" t="s">
        <v>56</v>
      </c>
      <c r="M86" s="1" t="s">
        <v>54</v>
      </c>
      <c r="N86" s="1" t="s">
        <v>392</v>
      </c>
      <c r="O86" s="1" t="s">
        <v>392</v>
      </c>
      <c r="P86" s="1" t="s">
        <v>396</v>
      </c>
      <c r="Q86">
        <v>0.92871400000000004</v>
      </c>
      <c r="R86">
        <v>0.79457699999999998</v>
      </c>
      <c r="S86" s="16">
        <v>12.038506</v>
      </c>
      <c r="T86" s="18">
        <v>1841177448</v>
      </c>
      <c r="U86" s="13">
        <f t="shared" si="2"/>
        <v>0.67069298202422334</v>
      </c>
    </row>
    <row r="87" spans="1:21" x14ac:dyDescent="0.2">
      <c r="A87" s="12" t="s">
        <v>233</v>
      </c>
      <c r="B87" s="1" t="s">
        <v>55</v>
      </c>
      <c r="C87" s="1" t="s">
        <v>348</v>
      </c>
      <c r="D87" s="1" t="s">
        <v>30</v>
      </c>
      <c r="E87" s="1" t="s">
        <v>105</v>
      </c>
      <c r="F87" s="1" t="s">
        <v>53</v>
      </c>
      <c r="G87" s="2">
        <v>44338</v>
      </c>
      <c r="H87" s="9">
        <v>0.98</v>
      </c>
      <c r="I87" s="2">
        <v>41944</v>
      </c>
      <c r="J87" s="2" t="s">
        <v>55</v>
      </c>
      <c r="K87" s="1">
        <v>6.6</v>
      </c>
      <c r="L87" s="1" t="s">
        <v>56</v>
      </c>
      <c r="M87" s="1" t="s">
        <v>54</v>
      </c>
      <c r="N87" s="1" t="s">
        <v>391</v>
      </c>
      <c r="O87" s="1" t="s">
        <v>391</v>
      </c>
      <c r="P87" s="1" t="s">
        <v>396</v>
      </c>
      <c r="Q87">
        <v>0.96143800000000001</v>
      </c>
      <c r="R87">
        <v>0.85828700000000002</v>
      </c>
      <c r="S87" s="16">
        <v>12.263166999999999</v>
      </c>
      <c r="T87" s="18">
        <v>2017991161</v>
      </c>
      <c r="U87" s="13">
        <f t="shared" si="2"/>
        <v>0.73510161171038546</v>
      </c>
    </row>
    <row r="88" spans="1:21" x14ac:dyDescent="0.2">
      <c r="A88" s="12" t="s">
        <v>234</v>
      </c>
      <c r="B88" s="1" t="s">
        <v>55</v>
      </c>
      <c r="C88" s="1" t="s">
        <v>348</v>
      </c>
      <c r="D88" s="1" t="s">
        <v>30</v>
      </c>
      <c r="E88" s="1" t="s">
        <v>105</v>
      </c>
      <c r="F88" s="1" t="s">
        <v>53</v>
      </c>
      <c r="G88" s="2">
        <v>44338</v>
      </c>
      <c r="H88" s="9">
        <v>0.98</v>
      </c>
      <c r="I88" s="2">
        <v>41944</v>
      </c>
      <c r="J88" s="2" t="s">
        <v>55</v>
      </c>
      <c r="K88" s="1">
        <v>6.6</v>
      </c>
      <c r="L88" s="1" t="s">
        <v>56</v>
      </c>
      <c r="M88" s="1" t="s">
        <v>54</v>
      </c>
      <c r="N88" s="1" t="s">
        <v>391</v>
      </c>
      <c r="O88" s="1" t="s">
        <v>390</v>
      </c>
      <c r="P88" s="1" t="s">
        <v>396</v>
      </c>
      <c r="Q88">
        <v>0.95934399999999997</v>
      </c>
      <c r="R88">
        <v>0.84284300000000001</v>
      </c>
      <c r="S88" s="16">
        <v>12.863645999999999</v>
      </c>
      <c r="T88" s="18">
        <v>2004443680</v>
      </c>
      <c r="U88" s="13">
        <f t="shared" si="2"/>
        <v>0.73016661729109333</v>
      </c>
    </row>
    <row r="89" spans="1:21" x14ac:dyDescent="0.2">
      <c r="A89" s="12" t="s">
        <v>235</v>
      </c>
      <c r="B89" s="1" t="s">
        <v>55</v>
      </c>
      <c r="C89" s="1" t="s">
        <v>348</v>
      </c>
      <c r="D89" s="1" t="s">
        <v>30</v>
      </c>
      <c r="E89" s="1" t="s">
        <v>105</v>
      </c>
      <c r="F89" s="1" t="s">
        <v>53</v>
      </c>
      <c r="G89" s="2">
        <v>44338</v>
      </c>
      <c r="H89" s="9">
        <v>0.98</v>
      </c>
      <c r="I89" s="2">
        <v>41944</v>
      </c>
      <c r="J89" s="2" t="s">
        <v>55</v>
      </c>
      <c r="K89" s="1">
        <v>6.6</v>
      </c>
      <c r="L89" s="1" t="s">
        <v>56</v>
      </c>
      <c r="M89" s="1" t="s">
        <v>54</v>
      </c>
      <c r="N89" s="1" t="s">
        <v>390</v>
      </c>
      <c r="O89" s="1" t="s">
        <v>390</v>
      </c>
      <c r="P89" s="1" t="s">
        <v>396</v>
      </c>
      <c r="Q89">
        <v>0.956453</v>
      </c>
      <c r="R89">
        <v>0.83480699999999997</v>
      </c>
      <c r="S89" s="16">
        <v>11.484215000000001</v>
      </c>
      <c r="T89" s="18">
        <v>1947732506</v>
      </c>
      <c r="U89" s="13">
        <f t="shared" si="2"/>
        <v>0.70950821391695285</v>
      </c>
    </row>
    <row r="90" spans="1:21" x14ac:dyDescent="0.2">
      <c r="A90" s="12" t="s">
        <v>236</v>
      </c>
      <c r="B90" s="1" t="s">
        <v>55</v>
      </c>
      <c r="C90" s="1" t="s">
        <v>348</v>
      </c>
      <c r="D90" s="1" t="s">
        <v>30</v>
      </c>
      <c r="E90" s="1" t="s">
        <v>105</v>
      </c>
      <c r="F90" s="1" t="s">
        <v>53</v>
      </c>
      <c r="G90" s="2">
        <v>44338</v>
      </c>
      <c r="H90" s="9">
        <v>0.98</v>
      </c>
      <c r="I90" s="2">
        <v>41944</v>
      </c>
      <c r="J90" s="2" t="s">
        <v>55</v>
      </c>
      <c r="K90" s="1">
        <v>6.6</v>
      </c>
      <c r="L90" s="1" t="s">
        <v>56</v>
      </c>
      <c r="M90" s="1" t="s">
        <v>54</v>
      </c>
      <c r="N90" s="1" t="s">
        <v>390</v>
      </c>
      <c r="O90" s="1" t="s">
        <v>390</v>
      </c>
      <c r="P90" s="1" t="s">
        <v>396</v>
      </c>
      <c r="Q90">
        <v>0.94836799999999999</v>
      </c>
      <c r="R90">
        <v>0.78710800000000003</v>
      </c>
      <c r="S90" s="16">
        <v>10.779525</v>
      </c>
      <c r="T90" s="18">
        <v>1795528862</v>
      </c>
      <c r="U90" s="13">
        <f t="shared" si="2"/>
        <v>0.65406439128041072</v>
      </c>
    </row>
    <row r="91" spans="1:21" x14ac:dyDescent="0.2">
      <c r="A91" s="12" t="s">
        <v>237</v>
      </c>
      <c r="B91" s="1" t="s">
        <v>55</v>
      </c>
      <c r="C91" s="1" t="s">
        <v>348</v>
      </c>
      <c r="D91" s="1" t="s">
        <v>30</v>
      </c>
      <c r="E91" s="1" t="s">
        <v>105</v>
      </c>
      <c r="F91" s="1" t="s">
        <v>53</v>
      </c>
      <c r="G91" s="2">
        <v>44338</v>
      </c>
      <c r="H91" s="9">
        <v>0.98</v>
      </c>
      <c r="I91" s="2">
        <v>41944</v>
      </c>
      <c r="J91" s="2" t="s">
        <v>55</v>
      </c>
      <c r="K91" s="1">
        <v>6.6</v>
      </c>
      <c r="L91" s="1" t="s">
        <v>56</v>
      </c>
      <c r="M91" s="1" t="s">
        <v>54</v>
      </c>
      <c r="N91" s="1" t="s">
        <v>391</v>
      </c>
      <c r="O91" s="1" t="s">
        <v>391</v>
      </c>
      <c r="P91" s="1" t="s">
        <v>396</v>
      </c>
      <c r="Q91">
        <v>0.95650599999999997</v>
      </c>
      <c r="R91">
        <v>0.83334799999999998</v>
      </c>
      <c r="S91" s="16">
        <v>11.314519000000001</v>
      </c>
      <c r="T91" s="18">
        <v>1932403637</v>
      </c>
      <c r="U91" s="13">
        <f t="shared" si="2"/>
        <v>0.70392430625404045</v>
      </c>
    </row>
    <row r="92" spans="1:21" x14ac:dyDescent="0.2">
      <c r="A92" s="12" t="s">
        <v>238</v>
      </c>
      <c r="B92" s="1" t="s">
        <v>55</v>
      </c>
      <c r="C92" s="1" t="s">
        <v>348</v>
      </c>
      <c r="D92" s="1" t="s">
        <v>30</v>
      </c>
      <c r="E92" s="1" t="s">
        <v>105</v>
      </c>
      <c r="F92" s="1" t="s">
        <v>53</v>
      </c>
      <c r="G92" s="2">
        <v>44338</v>
      </c>
      <c r="H92" s="9">
        <v>0.98</v>
      </c>
      <c r="I92" s="2">
        <v>41944</v>
      </c>
      <c r="J92" s="2" t="s">
        <v>55</v>
      </c>
      <c r="K92" s="1">
        <v>6.6</v>
      </c>
      <c r="L92" s="1" t="s">
        <v>56</v>
      </c>
      <c r="M92" s="1" t="s">
        <v>54</v>
      </c>
      <c r="N92" s="1" t="s">
        <v>391</v>
      </c>
      <c r="O92" s="1" t="s">
        <v>391</v>
      </c>
      <c r="P92" s="1" t="s">
        <v>396</v>
      </c>
      <c r="Q92">
        <v>0.95951200000000003</v>
      </c>
      <c r="R92">
        <v>0.82163600000000003</v>
      </c>
      <c r="S92" s="16">
        <v>10.588246</v>
      </c>
      <c r="T92" s="18">
        <v>1847324067</v>
      </c>
      <c r="U92" s="13">
        <f t="shared" si="2"/>
        <v>0.67293203520780143</v>
      </c>
    </row>
    <row r="93" spans="1:21" x14ac:dyDescent="0.2">
      <c r="A93" s="12" t="s">
        <v>239</v>
      </c>
      <c r="B93" s="1" t="s">
        <v>55</v>
      </c>
      <c r="C93" s="1" t="s">
        <v>348</v>
      </c>
      <c r="D93" s="1" t="s">
        <v>30</v>
      </c>
      <c r="E93" s="1" t="s">
        <v>105</v>
      </c>
      <c r="F93" s="1" t="s">
        <v>53</v>
      </c>
      <c r="G93" s="2">
        <v>44338</v>
      </c>
      <c r="H93" s="9">
        <v>0.98</v>
      </c>
      <c r="I93" s="2">
        <v>41944</v>
      </c>
      <c r="J93" s="2" t="s">
        <v>55</v>
      </c>
      <c r="K93" s="1">
        <v>6.6</v>
      </c>
      <c r="L93" s="1" t="s">
        <v>56</v>
      </c>
      <c r="M93" s="1" t="s">
        <v>54</v>
      </c>
      <c r="N93" s="1" t="s">
        <v>390</v>
      </c>
      <c r="O93" s="1" t="s">
        <v>390</v>
      </c>
      <c r="P93" s="1" t="s">
        <v>396</v>
      </c>
      <c r="Q93">
        <v>0.95939600000000003</v>
      </c>
      <c r="R93">
        <v>0.81070399999999998</v>
      </c>
      <c r="S93" s="16">
        <v>9.8038109999999996</v>
      </c>
      <c r="T93" s="18">
        <v>1773265786</v>
      </c>
      <c r="U93" s="13">
        <f t="shared" si="2"/>
        <v>0.64595453264202063</v>
      </c>
    </row>
    <row r="94" spans="1:21" x14ac:dyDescent="0.2">
      <c r="A94" s="12" t="s">
        <v>240</v>
      </c>
      <c r="B94" s="1" t="s">
        <v>55</v>
      </c>
      <c r="C94" s="1" t="s">
        <v>348</v>
      </c>
      <c r="D94" s="1" t="s">
        <v>30</v>
      </c>
      <c r="E94" s="1" t="s">
        <v>105</v>
      </c>
      <c r="F94" s="1" t="s">
        <v>53</v>
      </c>
      <c r="G94" s="2">
        <v>44338</v>
      </c>
      <c r="H94" s="9">
        <v>0.98</v>
      </c>
      <c r="I94" s="2">
        <v>41944</v>
      </c>
      <c r="J94" s="2" t="s">
        <v>55</v>
      </c>
      <c r="K94" s="1">
        <v>6.6</v>
      </c>
      <c r="L94" s="1" t="s">
        <v>56</v>
      </c>
      <c r="M94" s="1" t="s">
        <v>54</v>
      </c>
      <c r="N94" s="1" t="s">
        <v>391</v>
      </c>
      <c r="O94" s="1" t="s">
        <v>391</v>
      </c>
      <c r="P94" s="1" t="s">
        <v>396</v>
      </c>
      <c r="Q94">
        <v>0.94812799999999997</v>
      </c>
      <c r="R94">
        <v>0.77626899999999999</v>
      </c>
      <c r="S94" s="16">
        <v>10.798408999999999</v>
      </c>
      <c r="T94" s="18">
        <v>1744176526</v>
      </c>
      <c r="U94" s="13">
        <f t="shared" si="2"/>
        <v>0.63535807299307645</v>
      </c>
    </row>
    <row r="95" spans="1:21" ht="17" customHeight="1" x14ac:dyDescent="0.2">
      <c r="A95" s="12" t="s">
        <v>241</v>
      </c>
      <c r="B95" s="1" t="s">
        <v>55</v>
      </c>
      <c r="C95" s="1" t="s">
        <v>348</v>
      </c>
      <c r="D95" s="1" t="s">
        <v>30</v>
      </c>
      <c r="E95" s="1" t="s">
        <v>105</v>
      </c>
      <c r="F95" s="1" t="s">
        <v>53</v>
      </c>
      <c r="G95" s="2">
        <v>44338</v>
      </c>
      <c r="H95" s="9">
        <v>0.98</v>
      </c>
      <c r="I95" s="2">
        <v>41944</v>
      </c>
      <c r="J95" s="2" t="s">
        <v>55</v>
      </c>
      <c r="K95" s="1">
        <v>6.6</v>
      </c>
      <c r="L95" s="1" t="s">
        <v>56</v>
      </c>
      <c r="M95" s="1" t="s">
        <v>54</v>
      </c>
      <c r="N95" s="1" t="s">
        <v>392</v>
      </c>
      <c r="O95" s="1" t="s">
        <v>392</v>
      </c>
      <c r="P95" s="1" t="s">
        <v>396</v>
      </c>
      <c r="Q95">
        <v>0.92044300000000001</v>
      </c>
      <c r="R95">
        <v>0.75126999999999999</v>
      </c>
      <c r="S95" s="16">
        <v>10.089288</v>
      </c>
      <c r="T95" s="18">
        <v>1660503509</v>
      </c>
      <c r="U95" s="13">
        <f t="shared" si="2"/>
        <v>0.60487817256432996</v>
      </c>
    </row>
    <row r="96" spans="1:21" ht="17" customHeight="1" x14ac:dyDescent="0.2">
      <c r="A96" s="12" t="s">
        <v>242</v>
      </c>
      <c r="B96" s="1" t="s">
        <v>55</v>
      </c>
      <c r="C96" s="1" t="s">
        <v>348</v>
      </c>
      <c r="D96" s="1" t="s">
        <v>30</v>
      </c>
      <c r="E96" s="1" t="s">
        <v>105</v>
      </c>
      <c r="F96" s="1" t="s">
        <v>53</v>
      </c>
      <c r="G96" s="2">
        <v>44338</v>
      </c>
      <c r="H96" s="9">
        <v>0.98</v>
      </c>
      <c r="I96" s="2">
        <v>41944</v>
      </c>
      <c r="J96" s="2" t="s">
        <v>55</v>
      </c>
      <c r="K96" s="1">
        <v>6.6</v>
      </c>
      <c r="L96" s="1" t="s">
        <v>56</v>
      </c>
      <c r="M96" s="1" t="s">
        <v>54</v>
      </c>
      <c r="N96" s="1" t="s">
        <v>390</v>
      </c>
      <c r="O96" s="1" t="s">
        <v>390</v>
      </c>
      <c r="P96" s="1" t="s">
        <v>396</v>
      </c>
      <c r="Q96">
        <v>0.96297900000000003</v>
      </c>
      <c r="R96">
        <v>0.82079899999999995</v>
      </c>
      <c r="S96" s="16">
        <v>9.7919990000000006</v>
      </c>
      <c r="T96" s="18">
        <v>1792340601</v>
      </c>
      <c r="U96" s="13">
        <f t="shared" si="2"/>
        <v>0.65290299085163384</v>
      </c>
    </row>
    <row r="97" spans="1:21" ht="17" customHeight="1" x14ac:dyDescent="0.2">
      <c r="A97" s="12" t="s">
        <v>243</v>
      </c>
      <c r="B97" s="1" t="s">
        <v>55</v>
      </c>
      <c r="C97" s="1" t="s">
        <v>348</v>
      </c>
      <c r="D97" s="1" t="s">
        <v>30</v>
      </c>
      <c r="E97" s="1" t="s">
        <v>105</v>
      </c>
      <c r="F97" s="1" t="s">
        <v>32</v>
      </c>
      <c r="G97" s="2">
        <v>44341</v>
      </c>
      <c r="H97" s="9">
        <v>0</v>
      </c>
      <c r="I97" s="2">
        <v>41944</v>
      </c>
      <c r="J97" s="2" t="s">
        <v>55</v>
      </c>
      <c r="K97" s="1">
        <v>6.6</v>
      </c>
      <c r="L97" s="1" t="s">
        <v>56</v>
      </c>
      <c r="M97" s="1" t="s">
        <v>54</v>
      </c>
      <c r="N97" s="1" t="s">
        <v>390</v>
      </c>
      <c r="O97" s="1" t="s">
        <v>390</v>
      </c>
      <c r="P97" s="1" t="s">
        <v>395</v>
      </c>
      <c r="Q97">
        <v>0.95667199999999997</v>
      </c>
      <c r="R97">
        <v>0.830264</v>
      </c>
      <c r="S97" s="16">
        <v>12.370010000000001</v>
      </c>
      <c r="T97" s="18">
        <v>1948415720</v>
      </c>
      <c r="U97" s="13">
        <f t="shared" si="2"/>
        <v>0.70975709097957307</v>
      </c>
    </row>
    <row r="98" spans="1:21" ht="17" customHeight="1" x14ac:dyDescent="0.2">
      <c r="A98" s="12" t="s">
        <v>244</v>
      </c>
      <c r="B98" s="1" t="s">
        <v>55</v>
      </c>
      <c r="C98" s="1" t="s">
        <v>348</v>
      </c>
      <c r="D98" s="1" t="s">
        <v>30</v>
      </c>
      <c r="E98" s="1" t="s">
        <v>105</v>
      </c>
      <c r="F98" s="1" t="s">
        <v>32</v>
      </c>
      <c r="G98" s="2">
        <v>44341</v>
      </c>
      <c r="H98" s="9">
        <v>0</v>
      </c>
      <c r="I98" s="2">
        <v>41944</v>
      </c>
      <c r="J98" s="2" t="s">
        <v>55</v>
      </c>
      <c r="K98" s="1">
        <v>6.6</v>
      </c>
      <c r="L98" s="1" t="s">
        <v>56</v>
      </c>
      <c r="M98" s="1" t="s">
        <v>54</v>
      </c>
      <c r="N98" s="1" t="s">
        <v>392</v>
      </c>
      <c r="O98" s="1" t="s">
        <v>392</v>
      </c>
      <c r="P98" s="1" t="s">
        <v>395</v>
      </c>
      <c r="Q98">
        <v>0.73109999999999997</v>
      </c>
      <c r="R98">
        <v>0.41842400000000002</v>
      </c>
      <c r="S98" s="16">
        <v>6.409643</v>
      </c>
      <c r="T98" s="18">
        <v>837992388</v>
      </c>
      <c r="U98" s="13">
        <f>T98/2745186691</f>
        <v>0.30525879742435341</v>
      </c>
    </row>
    <row r="99" spans="1:21" ht="17" customHeight="1" x14ac:dyDescent="0.2">
      <c r="A99" s="12" t="s">
        <v>245</v>
      </c>
      <c r="B99" s="1" t="s">
        <v>55</v>
      </c>
      <c r="C99" s="1" t="s">
        <v>348</v>
      </c>
      <c r="D99" s="1" t="s">
        <v>30</v>
      </c>
      <c r="E99" s="1" t="s">
        <v>105</v>
      </c>
      <c r="F99" s="1" t="s">
        <v>32</v>
      </c>
      <c r="G99" s="2">
        <v>44341</v>
      </c>
      <c r="H99" s="9">
        <v>0</v>
      </c>
      <c r="I99" s="2">
        <v>41944</v>
      </c>
      <c r="J99" s="2" t="s">
        <v>55</v>
      </c>
      <c r="K99" s="1">
        <v>6.6</v>
      </c>
      <c r="L99" s="1" t="s">
        <v>56</v>
      </c>
      <c r="M99" s="1" t="s">
        <v>54</v>
      </c>
      <c r="N99" s="1" t="s">
        <v>392</v>
      </c>
      <c r="O99" s="1" t="s">
        <v>392</v>
      </c>
      <c r="P99" s="1" t="s">
        <v>395</v>
      </c>
      <c r="Q99">
        <v>0.89760499999999999</v>
      </c>
      <c r="R99">
        <v>0.75824800000000003</v>
      </c>
      <c r="S99" s="16">
        <v>12.729998999999999</v>
      </c>
      <c r="T99" s="18">
        <v>1810365534</v>
      </c>
      <c r="U99" s="13">
        <f t="shared" ref="U99:U119" si="3">T99/2745186691</f>
        <v>0.65946900439785061</v>
      </c>
    </row>
    <row r="100" spans="1:21" ht="17" customHeight="1" x14ac:dyDescent="0.2">
      <c r="A100" s="12" t="s">
        <v>246</v>
      </c>
      <c r="B100" s="1" t="s">
        <v>55</v>
      </c>
      <c r="C100" s="1" t="s">
        <v>348</v>
      </c>
      <c r="D100" s="1" t="s">
        <v>30</v>
      </c>
      <c r="E100" s="1" t="s">
        <v>105</v>
      </c>
      <c r="F100" s="1" t="s">
        <v>32</v>
      </c>
      <c r="G100" s="2">
        <v>44341</v>
      </c>
      <c r="H100" s="9">
        <v>0</v>
      </c>
      <c r="I100" s="2">
        <v>41944</v>
      </c>
      <c r="J100" s="2" t="s">
        <v>55</v>
      </c>
      <c r="K100" s="1">
        <v>6.6</v>
      </c>
      <c r="L100" s="1" t="s">
        <v>56</v>
      </c>
      <c r="M100" s="1" t="s">
        <v>54</v>
      </c>
      <c r="N100" s="1" t="s">
        <v>392</v>
      </c>
      <c r="O100" s="1" t="s">
        <v>392</v>
      </c>
      <c r="P100" s="1" t="s">
        <v>395</v>
      </c>
      <c r="Q100">
        <v>0.91775200000000001</v>
      </c>
      <c r="R100">
        <v>0.79831099999999999</v>
      </c>
      <c r="S100" s="16">
        <v>11.879472</v>
      </c>
      <c r="T100" s="18">
        <v>1850048185</v>
      </c>
      <c r="U100" s="13">
        <f t="shared" si="3"/>
        <v>0.67392436043250514</v>
      </c>
    </row>
    <row r="101" spans="1:21" ht="17" customHeight="1" x14ac:dyDescent="0.2">
      <c r="A101" s="12" t="s">
        <v>247</v>
      </c>
      <c r="B101" s="1" t="s">
        <v>55</v>
      </c>
      <c r="C101" s="1" t="s">
        <v>348</v>
      </c>
      <c r="D101" s="1" t="s">
        <v>30</v>
      </c>
      <c r="E101" s="1" t="s">
        <v>105</v>
      </c>
      <c r="F101" s="1" t="s">
        <v>32</v>
      </c>
      <c r="G101" s="2">
        <v>44341</v>
      </c>
      <c r="H101" s="9">
        <v>0</v>
      </c>
      <c r="I101" s="2">
        <v>41944</v>
      </c>
      <c r="J101" s="2" t="s">
        <v>55</v>
      </c>
      <c r="K101" s="1">
        <v>6.6</v>
      </c>
      <c r="L101" s="1" t="s">
        <v>56</v>
      </c>
      <c r="M101" s="1" t="s">
        <v>54</v>
      </c>
      <c r="N101" s="1" t="s">
        <v>391</v>
      </c>
      <c r="O101" s="1" t="s">
        <v>391</v>
      </c>
      <c r="P101" s="1" t="s">
        <v>395</v>
      </c>
      <c r="Q101">
        <v>0.947349</v>
      </c>
      <c r="R101">
        <v>0.83172000000000001</v>
      </c>
      <c r="S101" s="16">
        <v>11.895443999999999</v>
      </c>
      <c r="T101" s="18">
        <v>1940471315</v>
      </c>
      <c r="U101" s="13">
        <f t="shared" si="3"/>
        <v>0.70686315118813903</v>
      </c>
    </row>
    <row r="102" spans="1:21" ht="17" customHeight="1" x14ac:dyDescent="0.2">
      <c r="A102" s="12" t="s">
        <v>248</v>
      </c>
      <c r="B102" s="1" t="s">
        <v>55</v>
      </c>
      <c r="C102" s="1" t="s">
        <v>348</v>
      </c>
      <c r="D102" s="1" t="s">
        <v>30</v>
      </c>
      <c r="E102" s="1" t="s">
        <v>105</v>
      </c>
      <c r="F102" s="1" t="s">
        <v>32</v>
      </c>
      <c r="G102" s="2">
        <v>44341</v>
      </c>
      <c r="H102" s="9">
        <v>0</v>
      </c>
      <c r="I102" s="2">
        <v>41944</v>
      </c>
      <c r="J102" s="2" t="s">
        <v>55</v>
      </c>
      <c r="K102" s="1">
        <v>6.6</v>
      </c>
      <c r="L102" s="1" t="s">
        <v>56</v>
      </c>
      <c r="M102" s="1" t="s">
        <v>54</v>
      </c>
      <c r="N102" s="1" t="s">
        <v>390</v>
      </c>
      <c r="O102" s="1" t="s">
        <v>390</v>
      </c>
      <c r="P102" s="1" t="s">
        <v>395</v>
      </c>
      <c r="Q102">
        <v>0.96445599999999998</v>
      </c>
      <c r="R102">
        <v>0.85823400000000005</v>
      </c>
      <c r="S102" s="16">
        <v>11.721382</v>
      </c>
      <c r="T102" s="18">
        <v>1997291749</v>
      </c>
      <c r="U102" s="13">
        <f t="shared" si="3"/>
        <v>0.72756135513407971</v>
      </c>
    </row>
    <row r="103" spans="1:21" ht="17" customHeight="1" x14ac:dyDescent="0.2">
      <c r="A103" s="12" t="s">
        <v>249</v>
      </c>
      <c r="B103" s="1" t="s">
        <v>55</v>
      </c>
      <c r="C103" s="1" t="s">
        <v>348</v>
      </c>
      <c r="D103" s="1" t="s">
        <v>30</v>
      </c>
      <c r="E103" s="1" t="s">
        <v>105</v>
      </c>
      <c r="F103" s="1" t="s">
        <v>32</v>
      </c>
      <c r="G103" s="2">
        <v>44341</v>
      </c>
      <c r="H103" s="9">
        <v>0</v>
      </c>
      <c r="I103" s="2">
        <v>41944</v>
      </c>
      <c r="J103" s="2" t="s">
        <v>55</v>
      </c>
      <c r="K103" s="1">
        <v>6.6</v>
      </c>
      <c r="L103" s="1" t="s">
        <v>56</v>
      </c>
      <c r="M103" s="1" t="s">
        <v>54</v>
      </c>
      <c r="N103" s="1" t="s">
        <v>390</v>
      </c>
      <c r="O103" s="1" t="s">
        <v>390</v>
      </c>
      <c r="P103" s="1" t="s">
        <v>395</v>
      </c>
      <c r="Q103">
        <v>0.96241900000000002</v>
      </c>
      <c r="R103">
        <v>0.83174300000000001</v>
      </c>
      <c r="S103" s="16">
        <v>10.608041</v>
      </c>
      <c r="T103" s="18">
        <v>1880538523</v>
      </c>
      <c r="U103" s="13">
        <f t="shared" si="3"/>
        <v>0.68503119629906439</v>
      </c>
    </row>
    <row r="104" spans="1:21" x14ac:dyDescent="0.2">
      <c r="A104" s="12" t="s">
        <v>250</v>
      </c>
      <c r="B104" s="1" t="s">
        <v>55</v>
      </c>
      <c r="C104" s="1" t="s">
        <v>348</v>
      </c>
      <c r="D104" s="1" t="s">
        <v>30</v>
      </c>
      <c r="E104" s="1" t="s">
        <v>105</v>
      </c>
      <c r="F104" s="1" t="s">
        <v>32</v>
      </c>
      <c r="G104" s="2">
        <v>44341</v>
      </c>
      <c r="H104" s="9">
        <v>0</v>
      </c>
      <c r="I104" s="2">
        <v>41944</v>
      </c>
      <c r="J104" s="2" t="s">
        <v>55</v>
      </c>
      <c r="K104" s="1">
        <v>6.6</v>
      </c>
      <c r="L104" s="1" t="s">
        <v>56</v>
      </c>
      <c r="M104" s="1" t="s">
        <v>54</v>
      </c>
      <c r="N104" s="1" t="s">
        <v>392</v>
      </c>
      <c r="O104" s="1" t="s">
        <v>392</v>
      </c>
      <c r="P104" s="1" t="s">
        <v>395</v>
      </c>
      <c r="Q104">
        <v>0.86220399999999997</v>
      </c>
      <c r="R104">
        <v>0.69068700000000005</v>
      </c>
      <c r="S104" s="16">
        <v>10.256164</v>
      </c>
      <c r="T104" s="18">
        <v>1585720756</v>
      </c>
      <c r="U104" s="13">
        <f t="shared" si="3"/>
        <v>0.57763676372129114</v>
      </c>
    </row>
    <row r="105" spans="1:21" x14ac:dyDescent="0.2">
      <c r="A105" s="12" t="s">
        <v>251</v>
      </c>
      <c r="B105" s="1" t="s">
        <v>55</v>
      </c>
      <c r="C105" s="1" t="s">
        <v>348</v>
      </c>
      <c r="D105" s="1" t="s">
        <v>30</v>
      </c>
      <c r="E105" s="1" t="s">
        <v>105</v>
      </c>
      <c r="F105" s="1" t="s">
        <v>32</v>
      </c>
      <c r="G105" s="2">
        <v>44341</v>
      </c>
      <c r="H105" s="9">
        <v>0</v>
      </c>
      <c r="I105" s="2">
        <v>41944</v>
      </c>
      <c r="J105" s="2" t="s">
        <v>55</v>
      </c>
      <c r="K105" s="1">
        <v>6.6</v>
      </c>
      <c r="L105" s="1" t="s">
        <v>56</v>
      </c>
      <c r="M105" s="1" t="s">
        <v>54</v>
      </c>
      <c r="N105" s="1" t="s">
        <v>391</v>
      </c>
      <c r="O105" s="1" t="s">
        <v>391</v>
      </c>
      <c r="P105" s="1" t="s">
        <v>395</v>
      </c>
      <c r="Q105">
        <v>0.94872000000000001</v>
      </c>
      <c r="R105">
        <v>0.79562999999999995</v>
      </c>
      <c r="S105" s="16">
        <v>9.9420839999999995</v>
      </c>
      <c r="T105" s="18">
        <v>1744848621</v>
      </c>
      <c r="U105" s="13">
        <f t="shared" si="3"/>
        <v>0.63560289969364414</v>
      </c>
    </row>
    <row r="106" spans="1:21" x14ac:dyDescent="0.2">
      <c r="A106" s="12" t="s">
        <v>252</v>
      </c>
      <c r="B106" s="1" t="s">
        <v>55</v>
      </c>
      <c r="C106" s="1" t="s">
        <v>348</v>
      </c>
      <c r="D106" s="1" t="s">
        <v>30</v>
      </c>
      <c r="E106" s="1" t="s">
        <v>105</v>
      </c>
      <c r="F106" s="1" t="s">
        <v>32</v>
      </c>
      <c r="G106" s="2">
        <v>44341</v>
      </c>
      <c r="H106" s="9">
        <v>0</v>
      </c>
      <c r="I106" s="2">
        <v>41944</v>
      </c>
      <c r="J106" s="2" t="s">
        <v>55</v>
      </c>
      <c r="K106" s="1">
        <v>6.6</v>
      </c>
      <c r="L106" s="1" t="s">
        <v>56</v>
      </c>
      <c r="M106" s="1" t="s">
        <v>54</v>
      </c>
      <c r="N106" s="1" t="s">
        <v>390</v>
      </c>
      <c r="O106" s="1" t="s">
        <v>390</v>
      </c>
      <c r="P106" s="1" t="s">
        <v>395</v>
      </c>
      <c r="Q106">
        <v>0.96408899999999997</v>
      </c>
      <c r="R106">
        <v>0.83654600000000001</v>
      </c>
      <c r="S106" s="16">
        <v>10.351328000000001</v>
      </c>
      <c r="T106" s="18">
        <v>1867644775</v>
      </c>
      <c r="U106" s="13">
        <f t="shared" si="3"/>
        <v>0.68033433978206626</v>
      </c>
    </row>
    <row r="107" spans="1:21" x14ac:dyDescent="0.2">
      <c r="A107" s="12" t="s">
        <v>253</v>
      </c>
      <c r="B107" s="1" t="s">
        <v>55</v>
      </c>
      <c r="C107" s="1" t="s">
        <v>348</v>
      </c>
      <c r="D107" s="1" t="s">
        <v>30</v>
      </c>
      <c r="E107" s="1" t="s">
        <v>105</v>
      </c>
      <c r="F107" s="1" t="s">
        <v>32</v>
      </c>
      <c r="G107" s="2">
        <v>44341</v>
      </c>
      <c r="H107" s="9">
        <v>0</v>
      </c>
      <c r="I107" s="2">
        <v>41944</v>
      </c>
      <c r="J107" s="2" t="s">
        <v>55</v>
      </c>
      <c r="K107" s="1">
        <v>6.6</v>
      </c>
      <c r="L107" s="1" t="s">
        <v>56</v>
      </c>
      <c r="M107" s="1" t="s">
        <v>54</v>
      </c>
      <c r="N107" s="1" t="s">
        <v>390</v>
      </c>
      <c r="O107" s="1" t="s">
        <v>390</v>
      </c>
      <c r="P107" s="1" t="s">
        <v>395</v>
      </c>
      <c r="Q107">
        <v>0.96498899999999999</v>
      </c>
      <c r="R107">
        <v>0.83218599999999998</v>
      </c>
      <c r="S107" s="16">
        <v>10.042548999999999</v>
      </c>
      <c r="T107" s="18">
        <v>1827875967</v>
      </c>
      <c r="U107" s="13">
        <f t="shared" si="3"/>
        <v>0.66584759899668333</v>
      </c>
    </row>
    <row r="108" spans="1:21" x14ac:dyDescent="0.2">
      <c r="A108" s="12" t="s">
        <v>254</v>
      </c>
      <c r="B108" s="1" t="s">
        <v>55</v>
      </c>
      <c r="C108" s="1" t="s">
        <v>348</v>
      </c>
      <c r="D108" s="1" t="s">
        <v>30</v>
      </c>
      <c r="E108" s="1" t="s">
        <v>105</v>
      </c>
      <c r="F108" s="1" t="s">
        <v>32</v>
      </c>
      <c r="G108" s="2">
        <v>44341</v>
      </c>
      <c r="H108" s="9">
        <v>0</v>
      </c>
      <c r="I108" s="2">
        <v>41944</v>
      </c>
      <c r="J108" s="2" t="s">
        <v>55</v>
      </c>
      <c r="K108" s="1">
        <v>6.6</v>
      </c>
      <c r="L108" s="1" t="s">
        <v>56</v>
      </c>
      <c r="M108" s="1" t="s">
        <v>54</v>
      </c>
      <c r="N108" s="1" t="s">
        <v>390</v>
      </c>
      <c r="O108" s="1" t="s">
        <v>390</v>
      </c>
      <c r="P108" s="1" t="s">
        <v>395</v>
      </c>
      <c r="Q108">
        <v>0.95974499999999996</v>
      </c>
      <c r="R108">
        <v>0.79555399999999998</v>
      </c>
      <c r="S108" s="16">
        <v>9.2379169999999995</v>
      </c>
      <c r="T108" s="18">
        <v>1671534822</v>
      </c>
      <c r="U108" s="13">
        <f t="shared" si="3"/>
        <v>0.60889659252686501</v>
      </c>
    </row>
    <row r="109" spans="1:21" x14ac:dyDescent="0.2">
      <c r="A109" s="12" t="s">
        <v>255</v>
      </c>
      <c r="B109" s="1" t="s">
        <v>55</v>
      </c>
      <c r="C109" s="1" t="s">
        <v>348</v>
      </c>
      <c r="D109" s="1" t="s">
        <v>30</v>
      </c>
      <c r="E109" s="1" t="s">
        <v>105</v>
      </c>
      <c r="F109" s="1" t="s">
        <v>32</v>
      </c>
      <c r="G109" s="2">
        <v>44341</v>
      </c>
      <c r="H109" s="9">
        <v>0</v>
      </c>
      <c r="I109" s="2">
        <v>41944</v>
      </c>
      <c r="J109" s="2" t="s">
        <v>55</v>
      </c>
      <c r="K109" s="1">
        <v>6.6</v>
      </c>
      <c r="L109" s="1" t="s">
        <v>56</v>
      </c>
      <c r="M109" s="1" t="s">
        <v>54</v>
      </c>
      <c r="N109" s="1" t="s">
        <v>391</v>
      </c>
      <c r="O109" s="1" t="s">
        <v>391</v>
      </c>
      <c r="P109" s="1" t="s">
        <v>395</v>
      </c>
      <c r="Q109">
        <v>0.94442300000000001</v>
      </c>
      <c r="R109">
        <v>0.79600800000000005</v>
      </c>
      <c r="S109" s="16">
        <v>10.219409000000001</v>
      </c>
      <c r="T109" s="18">
        <v>1779427694</v>
      </c>
      <c r="U109" s="13">
        <f t="shared" si="3"/>
        <v>0.64819915521002358</v>
      </c>
    </row>
    <row r="110" spans="1:21" x14ac:dyDescent="0.2">
      <c r="A110" s="12" t="s">
        <v>256</v>
      </c>
      <c r="B110" s="1" t="s">
        <v>55</v>
      </c>
      <c r="C110" s="1" t="s">
        <v>348</v>
      </c>
      <c r="D110" s="1" t="s">
        <v>30</v>
      </c>
      <c r="E110" s="1" t="s">
        <v>105</v>
      </c>
      <c r="F110" s="1" t="s">
        <v>32</v>
      </c>
      <c r="G110" s="2">
        <v>44341</v>
      </c>
      <c r="H110" s="9">
        <v>0</v>
      </c>
      <c r="I110" s="2">
        <v>41944</v>
      </c>
      <c r="J110" s="2" t="s">
        <v>55</v>
      </c>
      <c r="K110" s="1">
        <v>6.6</v>
      </c>
      <c r="L110" s="1" t="s">
        <v>56</v>
      </c>
      <c r="M110" s="1" t="s">
        <v>54</v>
      </c>
      <c r="N110" s="1" t="s">
        <v>390</v>
      </c>
      <c r="O110" s="1" t="s">
        <v>390</v>
      </c>
      <c r="P110" s="1" t="s">
        <v>395</v>
      </c>
      <c r="Q110">
        <v>0.96120799999999995</v>
      </c>
      <c r="R110">
        <v>0.80635800000000002</v>
      </c>
      <c r="S110" s="16">
        <v>9.5041480000000007</v>
      </c>
      <c r="T110" s="18">
        <v>1720173883</v>
      </c>
      <c r="U110" s="13">
        <f t="shared" si="3"/>
        <v>0.6266145354119379</v>
      </c>
    </row>
    <row r="111" spans="1:21" x14ac:dyDescent="0.2">
      <c r="A111" s="12" t="s">
        <v>257</v>
      </c>
      <c r="B111" s="1" t="s">
        <v>55</v>
      </c>
      <c r="C111" s="1" t="s">
        <v>348</v>
      </c>
      <c r="D111" s="1" t="s">
        <v>30</v>
      </c>
      <c r="E111" s="1" t="s">
        <v>105</v>
      </c>
      <c r="F111" s="1" t="s">
        <v>32</v>
      </c>
      <c r="G111" s="2">
        <v>44341</v>
      </c>
      <c r="H111" s="9">
        <v>0</v>
      </c>
      <c r="I111" s="2">
        <v>41944</v>
      </c>
      <c r="J111" s="2" t="s">
        <v>55</v>
      </c>
      <c r="K111" s="1">
        <v>6.6</v>
      </c>
      <c r="L111" s="1" t="s">
        <v>56</v>
      </c>
      <c r="M111" s="1" t="s">
        <v>54</v>
      </c>
      <c r="N111" s="1" t="s">
        <v>390</v>
      </c>
      <c r="O111" s="1" t="s">
        <v>390</v>
      </c>
      <c r="P111" s="1" t="s">
        <v>395</v>
      </c>
      <c r="Q111">
        <v>0.962148</v>
      </c>
      <c r="R111">
        <v>0.79615899999999995</v>
      </c>
      <c r="S111" s="16">
        <v>9.1615420000000007</v>
      </c>
      <c r="T111" s="18">
        <v>1673198568</v>
      </c>
      <c r="U111" s="13">
        <f t="shared" si="3"/>
        <v>0.60950265185443453</v>
      </c>
    </row>
    <row r="112" spans="1:21" x14ac:dyDescent="0.2">
      <c r="A112" s="12" t="s">
        <v>258</v>
      </c>
      <c r="B112" s="1" t="s">
        <v>55</v>
      </c>
      <c r="C112" s="1" t="s">
        <v>348</v>
      </c>
      <c r="D112" s="1" t="s">
        <v>30</v>
      </c>
      <c r="E112" s="1" t="s">
        <v>105</v>
      </c>
      <c r="F112" s="1" t="s">
        <v>32</v>
      </c>
      <c r="G112" s="2">
        <v>44341</v>
      </c>
      <c r="H112" s="9">
        <v>0</v>
      </c>
      <c r="I112" s="2">
        <v>41944</v>
      </c>
      <c r="J112" s="2" t="s">
        <v>55</v>
      </c>
      <c r="K112" s="1">
        <v>6.6</v>
      </c>
      <c r="L112" s="1" t="s">
        <v>56</v>
      </c>
      <c r="M112" s="1" t="s">
        <v>54</v>
      </c>
      <c r="N112" s="1" t="s">
        <v>390</v>
      </c>
      <c r="O112" s="1" t="s">
        <v>390</v>
      </c>
      <c r="P112" s="1" t="s">
        <v>395</v>
      </c>
      <c r="Q112">
        <v>0.96323199999999998</v>
      </c>
      <c r="R112">
        <v>0.84081099999999998</v>
      </c>
      <c r="S112" s="16">
        <v>10.598618</v>
      </c>
      <c r="T112" s="18">
        <v>1902258303</v>
      </c>
      <c r="U112" s="13">
        <f t="shared" si="3"/>
        <v>0.69294314635740017</v>
      </c>
    </row>
    <row r="113" spans="1:21" x14ac:dyDescent="0.2">
      <c r="A113" s="12" t="s">
        <v>259</v>
      </c>
      <c r="B113" s="1" t="s">
        <v>55</v>
      </c>
      <c r="C113" s="1" t="s">
        <v>348</v>
      </c>
      <c r="D113" s="1" t="s">
        <v>30</v>
      </c>
      <c r="E113" s="1" t="s">
        <v>105</v>
      </c>
      <c r="F113" s="1" t="s">
        <v>32</v>
      </c>
      <c r="G113" s="2">
        <v>44341</v>
      </c>
      <c r="H113" s="9">
        <v>0</v>
      </c>
      <c r="I113" s="2">
        <v>41944</v>
      </c>
      <c r="J113" s="2" t="s">
        <v>55</v>
      </c>
      <c r="K113" s="1">
        <v>6.6</v>
      </c>
      <c r="L113" s="1" t="s">
        <v>56</v>
      </c>
      <c r="M113" s="1" t="s">
        <v>54</v>
      </c>
      <c r="N113" s="1" t="s">
        <v>392</v>
      </c>
      <c r="O113" s="1" t="s">
        <v>392</v>
      </c>
      <c r="P113" s="1" t="s">
        <v>395</v>
      </c>
      <c r="Q113">
        <v>0.86356699999999997</v>
      </c>
      <c r="R113">
        <v>0.71787100000000004</v>
      </c>
      <c r="S113" s="16">
        <v>10.385436</v>
      </c>
      <c r="T113" s="18">
        <v>1627469798</v>
      </c>
      <c r="U113" s="13">
        <f t="shared" si="3"/>
        <v>0.59284485216819816</v>
      </c>
    </row>
    <row r="114" spans="1:21" x14ac:dyDescent="0.2">
      <c r="A114" s="12" t="s">
        <v>260</v>
      </c>
      <c r="B114" s="1" t="s">
        <v>55</v>
      </c>
      <c r="C114" s="1" t="s">
        <v>348</v>
      </c>
      <c r="D114" s="1" t="s">
        <v>30</v>
      </c>
      <c r="E114" s="1" t="s">
        <v>105</v>
      </c>
      <c r="F114" s="1" t="s">
        <v>32</v>
      </c>
      <c r="G114" s="2">
        <v>44341</v>
      </c>
      <c r="H114" s="9">
        <v>0</v>
      </c>
      <c r="I114" s="2">
        <v>41944</v>
      </c>
      <c r="J114" s="2" t="s">
        <v>55</v>
      </c>
      <c r="K114" s="1">
        <v>6.6</v>
      </c>
      <c r="L114" s="1" t="s">
        <v>56</v>
      </c>
      <c r="M114" s="1" t="s">
        <v>54</v>
      </c>
      <c r="N114" s="1" t="s">
        <v>390</v>
      </c>
      <c r="O114" s="1" t="s">
        <v>390</v>
      </c>
      <c r="P114" s="1" t="s">
        <v>395</v>
      </c>
      <c r="Q114">
        <v>0.96052199999999999</v>
      </c>
      <c r="R114">
        <v>0.79797799999999997</v>
      </c>
      <c r="S114" s="16">
        <v>9.3649090000000008</v>
      </c>
      <c r="T114" s="18">
        <v>1702942746</v>
      </c>
      <c r="U114" s="13">
        <f t="shared" si="3"/>
        <v>0.62033768107030363</v>
      </c>
    </row>
    <row r="115" spans="1:21" x14ac:dyDescent="0.2">
      <c r="A115" s="12" t="s">
        <v>261</v>
      </c>
      <c r="B115" s="1" t="s">
        <v>55</v>
      </c>
      <c r="C115" s="1" t="s">
        <v>348</v>
      </c>
      <c r="D115" s="1" t="s">
        <v>30</v>
      </c>
      <c r="E115" s="1" t="s">
        <v>105</v>
      </c>
      <c r="F115" s="1" t="s">
        <v>32</v>
      </c>
      <c r="G115" s="2">
        <v>44341</v>
      </c>
      <c r="H115" s="9">
        <v>0</v>
      </c>
      <c r="I115" s="2">
        <v>41944</v>
      </c>
      <c r="J115" s="2" t="s">
        <v>55</v>
      </c>
      <c r="K115" s="1">
        <v>6.6</v>
      </c>
      <c r="L115" s="1" t="s">
        <v>56</v>
      </c>
      <c r="M115" s="1" t="s">
        <v>54</v>
      </c>
      <c r="N115" s="1" t="s">
        <v>392</v>
      </c>
      <c r="O115" s="1" t="s">
        <v>393</v>
      </c>
      <c r="P115" s="1" t="s">
        <v>395</v>
      </c>
      <c r="Q115">
        <v>0.93177100000000002</v>
      </c>
      <c r="R115">
        <v>0.78056300000000001</v>
      </c>
      <c r="S115" s="16">
        <v>10.49206</v>
      </c>
      <c r="T115" s="18">
        <v>1745524253</v>
      </c>
      <c r="U115" s="13">
        <f t="shared" si="3"/>
        <v>0.63584901483117384</v>
      </c>
    </row>
    <row r="116" spans="1:21" x14ac:dyDescent="0.2">
      <c r="A116" s="12" t="s">
        <v>262</v>
      </c>
      <c r="B116" s="1" t="s">
        <v>55</v>
      </c>
      <c r="C116" s="1" t="s">
        <v>348</v>
      </c>
      <c r="D116" s="1" t="s">
        <v>30</v>
      </c>
      <c r="E116" s="1" t="s">
        <v>105</v>
      </c>
      <c r="F116" s="1" t="s">
        <v>32</v>
      </c>
      <c r="G116" s="2">
        <v>44341</v>
      </c>
      <c r="H116" s="9">
        <v>0</v>
      </c>
      <c r="I116" s="2">
        <v>41944</v>
      </c>
      <c r="J116" s="2" t="s">
        <v>55</v>
      </c>
      <c r="K116" s="1">
        <v>6.6</v>
      </c>
      <c r="L116" s="1" t="s">
        <v>56</v>
      </c>
      <c r="M116" s="1" t="s">
        <v>54</v>
      </c>
      <c r="N116" s="1" t="s">
        <v>392</v>
      </c>
      <c r="O116" s="1" t="s">
        <v>392</v>
      </c>
      <c r="P116" s="1" t="s">
        <v>395</v>
      </c>
      <c r="Q116">
        <v>0.90945500000000001</v>
      </c>
      <c r="R116">
        <v>0.75462300000000004</v>
      </c>
      <c r="S116" s="16">
        <v>10.856249999999999</v>
      </c>
      <c r="T116" s="18">
        <v>1726921971</v>
      </c>
      <c r="U116" s="13">
        <f t="shared" si="3"/>
        <v>0.62907268808407613</v>
      </c>
    </row>
    <row r="117" spans="1:21" x14ac:dyDescent="0.2">
      <c r="A117" s="12" t="s">
        <v>263</v>
      </c>
      <c r="B117" s="1" t="s">
        <v>55</v>
      </c>
      <c r="C117" s="1" t="s">
        <v>348</v>
      </c>
      <c r="D117" s="1" t="s">
        <v>30</v>
      </c>
      <c r="E117" s="1" t="s">
        <v>105</v>
      </c>
      <c r="F117" s="1" t="s">
        <v>32</v>
      </c>
      <c r="G117" s="2">
        <v>44341</v>
      </c>
      <c r="H117" s="9">
        <v>0</v>
      </c>
      <c r="I117" s="2">
        <v>41944</v>
      </c>
      <c r="J117" s="2" t="s">
        <v>55</v>
      </c>
      <c r="K117" s="1">
        <v>6.6</v>
      </c>
      <c r="L117" s="1" t="s">
        <v>56</v>
      </c>
      <c r="M117" s="1" t="s">
        <v>54</v>
      </c>
      <c r="N117" s="1" t="s">
        <v>390</v>
      </c>
      <c r="O117" s="1" t="s">
        <v>390</v>
      </c>
      <c r="P117" s="1" t="s">
        <v>395</v>
      </c>
      <c r="Q117">
        <v>0.96274800000000005</v>
      </c>
      <c r="R117">
        <v>0.81865600000000005</v>
      </c>
      <c r="S117" s="16">
        <v>9.8880359999999996</v>
      </c>
      <c r="T117" s="18">
        <v>1778716489</v>
      </c>
      <c r="U117" s="13">
        <f t="shared" si="3"/>
        <v>0.64794008175526308</v>
      </c>
    </row>
    <row r="118" spans="1:21" x14ac:dyDescent="0.2">
      <c r="A118" s="12" t="s">
        <v>264</v>
      </c>
      <c r="B118" s="1" t="s">
        <v>55</v>
      </c>
      <c r="C118" s="1" t="s">
        <v>348</v>
      </c>
      <c r="D118" s="1" t="s">
        <v>30</v>
      </c>
      <c r="E118" s="1" t="s">
        <v>105</v>
      </c>
      <c r="F118" s="1" t="s">
        <v>32</v>
      </c>
      <c r="G118" s="2">
        <v>44341</v>
      </c>
      <c r="H118" s="9">
        <v>0</v>
      </c>
      <c r="I118" s="2">
        <v>41944</v>
      </c>
      <c r="J118" s="2" t="s">
        <v>55</v>
      </c>
      <c r="K118" s="1">
        <v>6.6</v>
      </c>
      <c r="L118" s="1" t="s">
        <v>56</v>
      </c>
      <c r="M118" s="1" t="s">
        <v>54</v>
      </c>
      <c r="N118" s="1" t="s">
        <v>391</v>
      </c>
      <c r="O118" s="1" t="s">
        <v>391</v>
      </c>
      <c r="P118" s="1" t="s">
        <v>395</v>
      </c>
      <c r="Q118">
        <v>0.94551799999999997</v>
      </c>
      <c r="R118">
        <v>0.77246700000000001</v>
      </c>
      <c r="S118" s="16">
        <v>9.1823300000000003</v>
      </c>
      <c r="T118" s="18">
        <v>1633235006</v>
      </c>
      <c r="U118" s="13">
        <f t="shared" si="3"/>
        <v>0.594944967260152</v>
      </c>
    </row>
    <row r="119" spans="1:21" x14ac:dyDescent="0.2">
      <c r="A119" s="12" t="s">
        <v>265</v>
      </c>
      <c r="B119" s="1" t="s">
        <v>55</v>
      </c>
      <c r="C119" s="1" t="s">
        <v>348</v>
      </c>
      <c r="D119" s="1" t="s">
        <v>30</v>
      </c>
      <c r="E119" s="1" t="s">
        <v>105</v>
      </c>
      <c r="F119" s="1" t="s">
        <v>32</v>
      </c>
      <c r="G119" s="2">
        <v>44341</v>
      </c>
      <c r="H119" s="9">
        <v>0</v>
      </c>
      <c r="I119" s="2">
        <v>41944</v>
      </c>
      <c r="J119" s="2" t="s">
        <v>55</v>
      </c>
      <c r="K119" s="1">
        <v>6.6</v>
      </c>
      <c r="L119" s="1" t="s">
        <v>56</v>
      </c>
      <c r="M119" s="1" t="s">
        <v>54</v>
      </c>
      <c r="N119" s="1" t="s">
        <v>390</v>
      </c>
      <c r="O119" s="1" t="s">
        <v>390</v>
      </c>
      <c r="P119" s="1" t="s">
        <v>395</v>
      </c>
      <c r="Q119">
        <v>0.96809500000000004</v>
      </c>
      <c r="R119">
        <v>0.88657200000000003</v>
      </c>
      <c r="S119" s="16">
        <v>12.76149</v>
      </c>
      <c r="T119" s="18">
        <v>2128137318</v>
      </c>
      <c r="U119" s="13">
        <f t="shared" si="3"/>
        <v>0.77522498742144752</v>
      </c>
    </row>
    <row r="120" spans="1:21" x14ac:dyDescent="0.2">
      <c r="A120" s="12" t="s">
        <v>266</v>
      </c>
      <c r="B120" s="1" t="s">
        <v>55</v>
      </c>
      <c r="C120" s="1" t="s">
        <v>348</v>
      </c>
      <c r="D120" s="1" t="s">
        <v>30</v>
      </c>
      <c r="E120" s="1" t="s">
        <v>105</v>
      </c>
      <c r="F120" s="1" t="s">
        <v>53</v>
      </c>
      <c r="G120" s="2">
        <v>44338</v>
      </c>
      <c r="H120" s="9">
        <v>0.98</v>
      </c>
      <c r="I120" s="2">
        <v>41944</v>
      </c>
      <c r="J120" s="2" t="s">
        <v>55</v>
      </c>
      <c r="K120" s="1">
        <v>6.6</v>
      </c>
      <c r="L120" s="1" t="s">
        <v>56</v>
      </c>
      <c r="M120" s="1" t="s">
        <v>386</v>
      </c>
      <c r="N120" s="1" t="s">
        <v>55</v>
      </c>
      <c r="O120" s="1" t="s">
        <v>55</v>
      </c>
      <c r="P120" s="1" t="s">
        <v>396</v>
      </c>
      <c r="Q120" s="12" t="s">
        <v>55</v>
      </c>
      <c r="R120" s="12" t="s">
        <v>55</v>
      </c>
      <c r="S120" s="17" t="s">
        <v>55</v>
      </c>
      <c r="T120" s="14" t="s">
        <v>55</v>
      </c>
      <c r="U120" s="13" t="e">
        <f>T120/2745186691</f>
        <v>#VALUE!</v>
      </c>
    </row>
    <row r="121" spans="1:21" x14ac:dyDescent="0.2">
      <c r="A121" s="12" t="s">
        <v>267</v>
      </c>
      <c r="B121" s="1" t="s">
        <v>55</v>
      </c>
      <c r="C121" s="1" t="s">
        <v>348</v>
      </c>
      <c r="D121" s="1" t="s">
        <v>30</v>
      </c>
      <c r="E121" s="1" t="s">
        <v>105</v>
      </c>
      <c r="F121" s="1" t="s">
        <v>32</v>
      </c>
      <c r="G121" s="2">
        <v>44341</v>
      </c>
      <c r="H121" s="9">
        <v>0</v>
      </c>
      <c r="I121" s="2">
        <v>41944</v>
      </c>
      <c r="J121" s="2" t="s">
        <v>55</v>
      </c>
      <c r="K121" s="1">
        <v>6.6</v>
      </c>
      <c r="L121" s="1" t="s">
        <v>56</v>
      </c>
      <c r="M121" s="1" t="s">
        <v>387</v>
      </c>
      <c r="N121" s="1" t="s">
        <v>55</v>
      </c>
      <c r="O121" s="1" t="s">
        <v>55</v>
      </c>
      <c r="P121" s="1" t="s">
        <v>395</v>
      </c>
      <c r="Q121">
        <v>0.97443599999999997</v>
      </c>
      <c r="R121">
        <v>0.96743900000000005</v>
      </c>
      <c r="S121" s="16">
        <v>23.328893000000001</v>
      </c>
      <c r="T121" s="18">
        <v>2615624122</v>
      </c>
      <c r="U121" s="13">
        <f t="shared" ref="U121:U145" si="4">T121/2745186691</f>
        <v>0.95280373119075423</v>
      </c>
    </row>
    <row r="122" spans="1:21" x14ac:dyDescent="0.2">
      <c r="A122" s="12" t="s">
        <v>268</v>
      </c>
      <c r="B122" s="1" t="s">
        <v>55</v>
      </c>
      <c r="C122" s="1" t="s">
        <v>349</v>
      </c>
      <c r="D122" s="1" t="s">
        <v>30</v>
      </c>
      <c r="E122" s="1" t="s">
        <v>105</v>
      </c>
      <c r="F122" s="1" t="s">
        <v>53</v>
      </c>
      <c r="G122" s="2">
        <v>44434</v>
      </c>
      <c r="H122" s="9">
        <v>0.9</v>
      </c>
      <c r="I122" s="2">
        <v>39783</v>
      </c>
      <c r="J122" s="2" t="s">
        <v>55</v>
      </c>
      <c r="K122" s="1">
        <v>12.7</v>
      </c>
      <c r="L122" s="1" t="s">
        <v>56</v>
      </c>
      <c r="M122" s="1" t="s">
        <v>54</v>
      </c>
      <c r="N122" s="1" t="s">
        <v>390</v>
      </c>
      <c r="O122" s="1" t="s">
        <v>390</v>
      </c>
      <c r="P122" s="1" t="s">
        <v>396</v>
      </c>
      <c r="Q122">
        <v>0.95747400000000005</v>
      </c>
      <c r="R122">
        <v>0.82156099999999999</v>
      </c>
      <c r="S122" s="16">
        <v>12.214740000000001</v>
      </c>
      <c r="T122" s="15">
        <v>1881536910</v>
      </c>
      <c r="U122" s="13">
        <f t="shared" si="4"/>
        <v>0.68539488267539472</v>
      </c>
    </row>
    <row r="123" spans="1:21" x14ac:dyDescent="0.2">
      <c r="A123" s="12" t="s">
        <v>269</v>
      </c>
      <c r="B123" s="1" t="s">
        <v>55</v>
      </c>
      <c r="C123" s="1" t="s">
        <v>349</v>
      </c>
      <c r="D123" s="1" t="s">
        <v>30</v>
      </c>
      <c r="E123" s="1" t="s">
        <v>105</v>
      </c>
      <c r="F123" s="1" t="s">
        <v>53</v>
      </c>
      <c r="G123" s="2">
        <v>44434</v>
      </c>
      <c r="H123" s="9">
        <v>0.9</v>
      </c>
      <c r="I123" s="2">
        <v>39783</v>
      </c>
      <c r="J123" s="2" t="s">
        <v>55</v>
      </c>
      <c r="K123" s="1">
        <v>12.7</v>
      </c>
      <c r="L123" s="1" t="s">
        <v>56</v>
      </c>
      <c r="M123" s="1" t="s">
        <v>54</v>
      </c>
      <c r="N123" s="1" t="s">
        <v>390</v>
      </c>
      <c r="O123" s="1" t="s">
        <v>390</v>
      </c>
      <c r="P123" s="1" t="s">
        <v>396</v>
      </c>
      <c r="Q123">
        <v>0.96196000000000004</v>
      </c>
      <c r="R123">
        <v>0.81458299999999995</v>
      </c>
      <c r="S123" s="16">
        <v>10.375486</v>
      </c>
      <c r="T123" s="15">
        <v>1799079860</v>
      </c>
      <c r="U123" s="13">
        <f t="shared" si="4"/>
        <v>0.65535792734906573</v>
      </c>
    </row>
    <row r="124" spans="1:21" x14ac:dyDescent="0.2">
      <c r="A124" s="12" t="s">
        <v>270</v>
      </c>
      <c r="B124" s="1" t="s">
        <v>55</v>
      </c>
      <c r="C124" s="1" t="s">
        <v>349</v>
      </c>
      <c r="D124" s="1" t="s">
        <v>30</v>
      </c>
      <c r="E124" s="1" t="s">
        <v>105</v>
      </c>
      <c r="F124" s="1" t="s">
        <v>53</v>
      </c>
      <c r="G124" s="2">
        <v>44434</v>
      </c>
      <c r="H124" s="9">
        <v>0.9</v>
      </c>
      <c r="I124" s="2">
        <v>39783</v>
      </c>
      <c r="J124" s="2" t="s">
        <v>55</v>
      </c>
      <c r="K124" s="1">
        <v>12.7</v>
      </c>
      <c r="L124" s="1" t="s">
        <v>56</v>
      </c>
      <c r="M124" s="1" t="s">
        <v>54</v>
      </c>
      <c r="N124" s="1" t="s">
        <v>391</v>
      </c>
      <c r="O124" s="1" t="s">
        <v>391</v>
      </c>
      <c r="P124" s="1" t="s">
        <v>396</v>
      </c>
      <c r="Q124">
        <v>0.96340400000000004</v>
      </c>
      <c r="R124">
        <v>0.83291400000000004</v>
      </c>
      <c r="S124" s="16">
        <v>10.470934</v>
      </c>
      <c r="T124" s="15">
        <v>1856312912</v>
      </c>
      <c r="U124" s="13">
        <f t="shared" si="4"/>
        <v>0.67620643728379493</v>
      </c>
    </row>
    <row r="125" spans="1:21" x14ac:dyDescent="0.2">
      <c r="A125" s="12" t="s">
        <v>271</v>
      </c>
      <c r="B125" s="1" t="s">
        <v>55</v>
      </c>
      <c r="C125" s="1" t="s">
        <v>349</v>
      </c>
      <c r="D125" s="1" t="s">
        <v>30</v>
      </c>
      <c r="E125" s="1" t="s">
        <v>105</v>
      </c>
      <c r="F125" s="1" t="s">
        <v>53</v>
      </c>
      <c r="G125" s="2">
        <v>44434</v>
      </c>
      <c r="H125" s="9">
        <v>0.9</v>
      </c>
      <c r="I125" s="2">
        <v>39783</v>
      </c>
      <c r="J125" s="2" t="s">
        <v>55</v>
      </c>
      <c r="K125" s="1">
        <v>12.7</v>
      </c>
      <c r="L125" s="1" t="s">
        <v>56</v>
      </c>
      <c r="M125" s="1" t="s">
        <v>54</v>
      </c>
      <c r="N125" s="1" t="s">
        <v>391</v>
      </c>
      <c r="O125" s="1" t="s">
        <v>391</v>
      </c>
      <c r="P125" s="1" t="s">
        <v>396</v>
      </c>
      <c r="Q125">
        <v>0.96176399999999995</v>
      </c>
      <c r="R125">
        <v>0.85589599999999999</v>
      </c>
      <c r="S125" s="16">
        <v>11.443542000000001</v>
      </c>
      <c r="T125" s="15">
        <v>1976986471</v>
      </c>
      <c r="U125" s="13">
        <f t="shared" si="4"/>
        <v>0.72016467130686668</v>
      </c>
    </row>
    <row r="126" spans="1:21" x14ac:dyDescent="0.2">
      <c r="A126" s="12" t="s">
        <v>272</v>
      </c>
      <c r="B126" s="1" t="s">
        <v>55</v>
      </c>
      <c r="C126" s="1" t="s">
        <v>349</v>
      </c>
      <c r="D126" s="1" t="s">
        <v>30</v>
      </c>
      <c r="E126" s="1" t="s">
        <v>105</v>
      </c>
      <c r="F126" s="1" t="s">
        <v>53</v>
      </c>
      <c r="G126" s="2">
        <v>44434</v>
      </c>
      <c r="H126" s="9">
        <v>0.9</v>
      </c>
      <c r="I126" s="2">
        <v>39783</v>
      </c>
      <c r="J126" s="2" t="s">
        <v>55</v>
      </c>
      <c r="K126" s="1">
        <v>12.7</v>
      </c>
      <c r="L126" s="1" t="s">
        <v>56</v>
      </c>
      <c r="M126" s="1" t="s">
        <v>54</v>
      </c>
      <c r="N126" s="1" t="s">
        <v>390</v>
      </c>
      <c r="O126" s="1" t="s">
        <v>390</v>
      </c>
      <c r="P126" s="1" t="s">
        <v>396</v>
      </c>
      <c r="Q126">
        <v>0.96886399999999995</v>
      </c>
      <c r="R126">
        <v>0.89251899999999995</v>
      </c>
      <c r="S126" s="16">
        <v>12.8062</v>
      </c>
      <c r="T126" s="15">
        <v>2152799507</v>
      </c>
      <c r="U126" s="13">
        <f t="shared" si="4"/>
        <v>0.7842087804293526</v>
      </c>
    </row>
    <row r="127" spans="1:21" x14ac:dyDescent="0.2">
      <c r="A127" s="12" t="s">
        <v>273</v>
      </c>
      <c r="B127" s="1" t="s">
        <v>55</v>
      </c>
      <c r="C127" s="1" t="s">
        <v>349</v>
      </c>
      <c r="D127" s="1" t="s">
        <v>30</v>
      </c>
      <c r="E127" s="1" t="s">
        <v>105</v>
      </c>
      <c r="F127" s="1" t="s">
        <v>53</v>
      </c>
      <c r="G127" s="2">
        <v>44434</v>
      </c>
      <c r="H127" s="9">
        <v>0.9</v>
      </c>
      <c r="I127" s="2">
        <v>39783</v>
      </c>
      <c r="J127" s="2" t="s">
        <v>55</v>
      </c>
      <c r="K127" s="1">
        <v>12.7</v>
      </c>
      <c r="L127" s="1" t="s">
        <v>56</v>
      </c>
      <c r="M127" s="1" t="s">
        <v>54</v>
      </c>
      <c r="N127" s="1" t="s">
        <v>390</v>
      </c>
      <c r="O127" s="1" t="s">
        <v>390</v>
      </c>
      <c r="P127" s="1" t="s">
        <v>396</v>
      </c>
      <c r="Q127">
        <v>0.96479300000000001</v>
      </c>
      <c r="R127">
        <v>0.84626199999999996</v>
      </c>
      <c r="S127" s="16">
        <v>10.936664</v>
      </c>
      <c r="T127" s="15">
        <v>1921491808</v>
      </c>
      <c r="U127" s="13">
        <f t="shared" si="4"/>
        <v>0.69994941120017251</v>
      </c>
    </row>
    <row r="128" spans="1:21" x14ac:dyDescent="0.2">
      <c r="A128" s="12" t="s">
        <v>274</v>
      </c>
      <c r="B128" s="1" t="s">
        <v>55</v>
      </c>
      <c r="C128" s="1" t="s">
        <v>349</v>
      </c>
      <c r="D128" s="1" t="s">
        <v>30</v>
      </c>
      <c r="E128" s="1" t="s">
        <v>105</v>
      </c>
      <c r="F128" s="1" t="s">
        <v>53</v>
      </c>
      <c r="G128" s="2">
        <v>44434</v>
      </c>
      <c r="H128" s="9">
        <v>0.9</v>
      </c>
      <c r="I128" s="2">
        <v>39783</v>
      </c>
      <c r="J128" s="2" t="s">
        <v>55</v>
      </c>
      <c r="K128" s="1">
        <v>12.7</v>
      </c>
      <c r="L128" s="1" t="s">
        <v>56</v>
      </c>
      <c r="M128" s="1" t="s">
        <v>54</v>
      </c>
      <c r="N128" s="1" t="s">
        <v>392</v>
      </c>
      <c r="O128" s="1" t="s">
        <v>392</v>
      </c>
      <c r="P128" s="1" t="s">
        <v>396</v>
      </c>
      <c r="Q128">
        <v>0.93595300000000003</v>
      </c>
      <c r="R128">
        <v>0.81144799999999995</v>
      </c>
      <c r="S128" s="16">
        <v>11.497066</v>
      </c>
      <c r="T128" s="15">
        <v>1864272504</v>
      </c>
      <c r="U128" s="13">
        <f t="shared" si="4"/>
        <v>0.67910590930371084</v>
      </c>
    </row>
    <row r="129" spans="1:21" x14ac:dyDescent="0.2">
      <c r="A129" s="12" t="s">
        <v>275</v>
      </c>
      <c r="B129" s="1" t="s">
        <v>55</v>
      </c>
      <c r="C129" s="1" t="s">
        <v>349</v>
      </c>
      <c r="D129" s="1" t="s">
        <v>30</v>
      </c>
      <c r="E129" s="1" t="s">
        <v>105</v>
      </c>
      <c r="F129" s="1" t="s">
        <v>53</v>
      </c>
      <c r="G129" s="2">
        <v>44434</v>
      </c>
      <c r="H129" s="9">
        <v>0.9</v>
      </c>
      <c r="I129" s="2">
        <v>39783</v>
      </c>
      <c r="J129" s="2" t="s">
        <v>55</v>
      </c>
      <c r="K129" s="1">
        <v>12.7</v>
      </c>
      <c r="L129" s="1" t="s">
        <v>56</v>
      </c>
      <c r="M129" s="1" t="s">
        <v>54</v>
      </c>
      <c r="N129" s="1" t="s">
        <v>392</v>
      </c>
      <c r="O129" s="1" t="s">
        <v>392</v>
      </c>
      <c r="P129" s="1" t="s">
        <v>396</v>
      </c>
      <c r="Q129">
        <v>0.87134400000000001</v>
      </c>
      <c r="R129">
        <v>0.64079799999999998</v>
      </c>
      <c r="S129" s="16">
        <v>11.887772999999999</v>
      </c>
      <c r="T129" s="15">
        <v>1466271746</v>
      </c>
      <c r="U129" s="13">
        <f t="shared" si="4"/>
        <v>0.53412460099967751</v>
      </c>
    </row>
    <row r="130" spans="1:21" x14ac:dyDescent="0.2">
      <c r="A130" s="12" t="s">
        <v>276</v>
      </c>
      <c r="B130" s="1" t="s">
        <v>55</v>
      </c>
      <c r="C130" s="1" t="s">
        <v>349</v>
      </c>
      <c r="D130" s="1" t="s">
        <v>30</v>
      </c>
      <c r="E130" s="1" t="s">
        <v>105</v>
      </c>
      <c r="F130" s="1" t="s">
        <v>53</v>
      </c>
      <c r="G130" s="2">
        <v>44434</v>
      </c>
      <c r="H130" s="9">
        <v>0.9</v>
      </c>
      <c r="I130" s="2">
        <v>39783</v>
      </c>
      <c r="J130" s="2" t="s">
        <v>55</v>
      </c>
      <c r="K130" s="1">
        <v>12.7</v>
      </c>
      <c r="L130" s="1" t="s">
        <v>56</v>
      </c>
      <c r="M130" s="1" t="s">
        <v>54</v>
      </c>
      <c r="N130" s="1" t="s">
        <v>392</v>
      </c>
      <c r="O130" s="1" t="s">
        <v>392</v>
      </c>
      <c r="P130" s="1" t="s">
        <v>396</v>
      </c>
      <c r="Q130">
        <v>0.88251000000000002</v>
      </c>
      <c r="R130">
        <v>0.70999199999999996</v>
      </c>
      <c r="S130" s="16">
        <v>10.960753</v>
      </c>
      <c r="T130" s="15">
        <v>1625047330</v>
      </c>
      <c r="U130" s="13">
        <f t="shared" si="4"/>
        <v>0.59196241018057594</v>
      </c>
    </row>
    <row r="131" spans="1:21" x14ac:dyDescent="0.2">
      <c r="A131" s="12" t="s">
        <v>277</v>
      </c>
      <c r="B131" s="1" t="s">
        <v>55</v>
      </c>
      <c r="C131" s="1" t="s">
        <v>349</v>
      </c>
      <c r="D131" s="1" t="s">
        <v>30</v>
      </c>
      <c r="E131" s="1" t="s">
        <v>105</v>
      </c>
      <c r="F131" s="1" t="s">
        <v>53</v>
      </c>
      <c r="G131" s="2">
        <v>44434</v>
      </c>
      <c r="H131" s="9">
        <v>0.9</v>
      </c>
      <c r="I131" s="2">
        <v>39783</v>
      </c>
      <c r="J131" s="2" t="s">
        <v>55</v>
      </c>
      <c r="K131" s="1">
        <v>12.7</v>
      </c>
      <c r="L131" s="1" t="s">
        <v>56</v>
      </c>
      <c r="M131" s="1" t="s">
        <v>54</v>
      </c>
      <c r="N131" s="1" t="s">
        <v>390</v>
      </c>
      <c r="O131" s="1" t="s">
        <v>390</v>
      </c>
      <c r="P131" s="1" t="s">
        <v>396</v>
      </c>
      <c r="Q131">
        <v>0.96423800000000004</v>
      </c>
      <c r="R131">
        <v>0.85328099999999996</v>
      </c>
      <c r="S131" s="16">
        <v>11.191477000000001</v>
      </c>
      <c r="T131" s="15">
        <v>1951450913</v>
      </c>
      <c r="U131" s="13">
        <f t="shared" si="4"/>
        <v>0.71086273272333889</v>
      </c>
    </row>
    <row r="132" spans="1:21" x14ac:dyDescent="0.2">
      <c r="A132" s="12" t="s">
        <v>278</v>
      </c>
      <c r="B132" s="1" t="s">
        <v>55</v>
      </c>
      <c r="C132" s="1" t="s">
        <v>349</v>
      </c>
      <c r="D132" s="1" t="s">
        <v>30</v>
      </c>
      <c r="E132" s="1" t="s">
        <v>105</v>
      </c>
      <c r="F132" s="1" t="s">
        <v>53</v>
      </c>
      <c r="G132" s="2">
        <v>44434</v>
      </c>
      <c r="H132" s="9">
        <v>0.9</v>
      </c>
      <c r="I132" s="2">
        <v>39783</v>
      </c>
      <c r="J132" s="2" t="s">
        <v>55</v>
      </c>
      <c r="K132" s="1">
        <v>12.7</v>
      </c>
      <c r="L132" s="1" t="s">
        <v>56</v>
      </c>
      <c r="M132" s="1" t="s">
        <v>54</v>
      </c>
      <c r="N132" s="1" t="s">
        <v>391</v>
      </c>
      <c r="O132" s="1" t="s">
        <v>391</v>
      </c>
      <c r="P132" s="1" t="s">
        <v>396</v>
      </c>
      <c r="Q132">
        <v>0.96272899999999995</v>
      </c>
      <c r="R132">
        <v>0.837704</v>
      </c>
      <c r="S132" s="16">
        <v>10.882510999999999</v>
      </c>
      <c r="T132" s="15">
        <v>1894985586</v>
      </c>
      <c r="U132" s="13">
        <f t="shared" si="4"/>
        <v>0.69029388500703615</v>
      </c>
    </row>
    <row r="133" spans="1:21" x14ac:dyDescent="0.2">
      <c r="A133" s="12" t="s">
        <v>279</v>
      </c>
      <c r="B133" s="1" t="s">
        <v>55</v>
      </c>
      <c r="C133" s="1" t="s">
        <v>349</v>
      </c>
      <c r="D133" s="1" t="s">
        <v>30</v>
      </c>
      <c r="E133" s="1" t="s">
        <v>105</v>
      </c>
      <c r="F133" s="1" t="s">
        <v>53</v>
      </c>
      <c r="G133" s="2">
        <v>44434</v>
      </c>
      <c r="H133" s="9">
        <v>0.9</v>
      </c>
      <c r="I133" s="2">
        <v>39783</v>
      </c>
      <c r="J133" s="2" t="s">
        <v>55</v>
      </c>
      <c r="K133" s="1">
        <v>12.7</v>
      </c>
      <c r="L133" s="1" t="s">
        <v>56</v>
      </c>
      <c r="M133" s="1" t="s">
        <v>54</v>
      </c>
      <c r="N133" s="1" t="s">
        <v>390</v>
      </c>
      <c r="O133" s="1" t="s">
        <v>390</v>
      </c>
      <c r="P133" s="1" t="s">
        <v>396</v>
      </c>
      <c r="Q133">
        <v>0.96099800000000002</v>
      </c>
      <c r="R133">
        <v>0.80809500000000001</v>
      </c>
      <c r="S133" s="16">
        <v>9.9143799999999995</v>
      </c>
      <c r="T133" s="15">
        <v>1737252255</v>
      </c>
      <c r="U133" s="13">
        <f t="shared" si="4"/>
        <v>0.63283574144356802</v>
      </c>
    </row>
    <row r="134" spans="1:21" x14ac:dyDescent="0.2">
      <c r="A134" s="12" t="s">
        <v>280</v>
      </c>
      <c r="B134" s="1" t="s">
        <v>55</v>
      </c>
      <c r="C134" s="1" t="s">
        <v>349</v>
      </c>
      <c r="D134" s="1" t="s">
        <v>30</v>
      </c>
      <c r="E134" s="1" t="s">
        <v>105</v>
      </c>
      <c r="F134" s="1" t="s">
        <v>53</v>
      </c>
      <c r="G134" s="2">
        <v>44434</v>
      </c>
      <c r="H134" s="9">
        <v>0.9</v>
      </c>
      <c r="I134" s="2">
        <v>39783</v>
      </c>
      <c r="J134" s="2" t="s">
        <v>55</v>
      </c>
      <c r="K134" s="1">
        <v>12.7</v>
      </c>
      <c r="L134" s="1" t="s">
        <v>56</v>
      </c>
      <c r="M134" s="1" t="s">
        <v>54</v>
      </c>
      <c r="N134" s="1" t="s">
        <v>391</v>
      </c>
      <c r="O134" s="1" t="s">
        <v>390</v>
      </c>
      <c r="P134" s="1" t="s">
        <v>396</v>
      </c>
      <c r="Q134">
        <v>0.96089899999999995</v>
      </c>
      <c r="R134">
        <v>0.80326200000000003</v>
      </c>
      <c r="S134" s="16">
        <v>10.469567</v>
      </c>
      <c r="T134" s="15">
        <v>1743648770</v>
      </c>
      <c r="U134" s="13">
        <f t="shared" si="4"/>
        <v>0.63516582523020837</v>
      </c>
    </row>
    <row r="135" spans="1:21" x14ac:dyDescent="0.2">
      <c r="A135" s="12" t="s">
        <v>281</v>
      </c>
      <c r="B135" s="1" t="s">
        <v>55</v>
      </c>
      <c r="C135" s="1" t="s">
        <v>349</v>
      </c>
      <c r="D135" s="1" t="s">
        <v>30</v>
      </c>
      <c r="E135" s="1" t="s">
        <v>105</v>
      </c>
      <c r="F135" s="1" t="s">
        <v>53</v>
      </c>
      <c r="G135" s="2">
        <v>44434</v>
      </c>
      <c r="H135" s="9">
        <v>0.9</v>
      </c>
      <c r="I135" s="2">
        <v>39783</v>
      </c>
      <c r="J135" s="2" t="s">
        <v>55</v>
      </c>
      <c r="K135" s="1">
        <v>12.7</v>
      </c>
      <c r="L135" s="1" t="s">
        <v>56</v>
      </c>
      <c r="M135" s="1" t="s">
        <v>54</v>
      </c>
      <c r="N135" s="1" t="s">
        <v>390</v>
      </c>
      <c r="O135" s="1" t="s">
        <v>390</v>
      </c>
      <c r="P135" s="1" t="s">
        <v>396</v>
      </c>
      <c r="Q135">
        <v>0.95247000000000004</v>
      </c>
      <c r="R135">
        <v>0.80219600000000002</v>
      </c>
      <c r="S135" s="16">
        <v>10.798461</v>
      </c>
      <c r="T135" s="15">
        <v>1806929935</v>
      </c>
      <c r="U135" s="13">
        <f t="shared" si="4"/>
        <v>0.6582175051787762</v>
      </c>
    </row>
    <row r="136" spans="1:21" x14ac:dyDescent="0.2">
      <c r="A136" s="12" t="s">
        <v>282</v>
      </c>
      <c r="B136" s="1" t="s">
        <v>55</v>
      </c>
      <c r="C136" s="1" t="s">
        <v>349</v>
      </c>
      <c r="D136" s="1" t="s">
        <v>30</v>
      </c>
      <c r="E136" s="1" t="s">
        <v>105</v>
      </c>
      <c r="F136" s="1" t="s">
        <v>53</v>
      </c>
      <c r="G136" s="2">
        <v>44434</v>
      </c>
      <c r="H136" s="9">
        <v>0.9</v>
      </c>
      <c r="I136" s="2">
        <v>39783</v>
      </c>
      <c r="J136" s="2" t="s">
        <v>55</v>
      </c>
      <c r="K136" s="1">
        <v>12.7</v>
      </c>
      <c r="L136" s="1" t="s">
        <v>56</v>
      </c>
      <c r="M136" s="1" t="s">
        <v>54</v>
      </c>
      <c r="N136" s="1" t="s">
        <v>390</v>
      </c>
      <c r="O136" s="1" t="s">
        <v>390</v>
      </c>
      <c r="P136" s="1" t="s">
        <v>396</v>
      </c>
      <c r="Q136">
        <v>0.95548200000000005</v>
      </c>
      <c r="R136">
        <v>0.79067200000000004</v>
      </c>
      <c r="S136" s="16">
        <v>9.8029720000000005</v>
      </c>
      <c r="T136" s="15">
        <v>1710836598</v>
      </c>
      <c r="U136" s="13">
        <f t="shared" si="4"/>
        <v>0.62321320572073258</v>
      </c>
    </row>
    <row r="137" spans="1:21" x14ac:dyDescent="0.2">
      <c r="A137" s="12" t="s">
        <v>283</v>
      </c>
      <c r="B137" s="1" t="s">
        <v>55</v>
      </c>
      <c r="C137" s="1" t="s">
        <v>349</v>
      </c>
      <c r="D137" s="1" t="s">
        <v>30</v>
      </c>
      <c r="E137" s="1" t="s">
        <v>105</v>
      </c>
      <c r="F137" s="1" t="s">
        <v>53</v>
      </c>
      <c r="G137" s="2">
        <v>44434</v>
      </c>
      <c r="H137" s="9">
        <v>0.9</v>
      </c>
      <c r="I137" s="2">
        <v>39783</v>
      </c>
      <c r="J137" s="2" t="s">
        <v>55</v>
      </c>
      <c r="K137" s="1">
        <v>12.7</v>
      </c>
      <c r="L137" s="1" t="s">
        <v>56</v>
      </c>
      <c r="M137" s="1" t="s">
        <v>54</v>
      </c>
      <c r="N137" s="1" t="s">
        <v>391</v>
      </c>
      <c r="O137" s="1" t="s">
        <v>390</v>
      </c>
      <c r="P137" s="1" t="s">
        <v>396</v>
      </c>
      <c r="Q137">
        <v>0.96465400000000001</v>
      </c>
      <c r="R137">
        <v>0.81030100000000005</v>
      </c>
      <c r="S137" s="16">
        <v>9.6655490000000004</v>
      </c>
      <c r="T137" s="15">
        <v>1694668263</v>
      </c>
      <c r="U137" s="13">
        <f t="shared" si="4"/>
        <v>0.61732350246193146</v>
      </c>
    </row>
    <row r="138" spans="1:21" x14ac:dyDescent="0.2">
      <c r="A138" s="12" t="s">
        <v>284</v>
      </c>
      <c r="B138" s="1" t="s">
        <v>55</v>
      </c>
      <c r="C138" s="1" t="s">
        <v>349</v>
      </c>
      <c r="D138" s="1" t="s">
        <v>30</v>
      </c>
      <c r="E138" s="1" t="s">
        <v>105</v>
      </c>
      <c r="F138" s="1" t="s">
        <v>53</v>
      </c>
      <c r="G138" s="2">
        <v>44434</v>
      </c>
      <c r="H138" s="9">
        <v>0.9</v>
      </c>
      <c r="I138" s="2">
        <v>39783</v>
      </c>
      <c r="J138" s="2" t="s">
        <v>55</v>
      </c>
      <c r="K138" s="1">
        <v>12.7</v>
      </c>
      <c r="L138" s="1" t="s">
        <v>56</v>
      </c>
      <c r="M138" s="1" t="s">
        <v>54</v>
      </c>
      <c r="N138" s="1" t="s">
        <v>390</v>
      </c>
      <c r="O138" s="1" t="s">
        <v>390</v>
      </c>
      <c r="P138" s="1" t="s">
        <v>396</v>
      </c>
      <c r="Q138">
        <v>0.96196800000000005</v>
      </c>
      <c r="R138">
        <v>0.82528500000000005</v>
      </c>
      <c r="S138" s="16">
        <v>10.817520999999999</v>
      </c>
      <c r="T138" s="15">
        <v>1839296407</v>
      </c>
      <c r="U138" s="13">
        <f t="shared" si="4"/>
        <v>0.67000776778864257</v>
      </c>
    </row>
    <row r="139" spans="1:21" x14ac:dyDescent="0.2">
      <c r="A139" s="12" t="s">
        <v>285</v>
      </c>
      <c r="B139" s="1" t="s">
        <v>55</v>
      </c>
      <c r="C139" s="1" t="s">
        <v>349</v>
      </c>
      <c r="D139" s="1" t="s">
        <v>30</v>
      </c>
      <c r="E139" s="1" t="s">
        <v>105</v>
      </c>
      <c r="F139" s="1" t="s">
        <v>53</v>
      </c>
      <c r="G139" s="2">
        <v>44434</v>
      </c>
      <c r="H139" s="9">
        <v>0.9</v>
      </c>
      <c r="I139" s="2">
        <v>39783</v>
      </c>
      <c r="J139" s="2" t="s">
        <v>55</v>
      </c>
      <c r="K139" s="1">
        <v>12.7</v>
      </c>
      <c r="L139" s="1" t="s">
        <v>56</v>
      </c>
      <c r="M139" s="1" t="s">
        <v>54</v>
      </c>
      <c r="N139" s="1" t="s">
        <v>391</v>
      </c>
      <c r="O139" s="1" t="s">
        <v>391</v>
      </c>
      <c r="P139" s="1" t="s">
        <v>396</v>
      </c>
      <c r="Q139">
        <v>0.95833000000000002</v>
      </c>
      <c r="R139">
        <v>0.81672100000000003</v>
      </c>
      <c r="S139" s="16">
        <v>10.478192999999999</v>
      </c>
      <c r="T139" s="15">
        <v>1814849853</v>
      </c>
      <c r="U139" s="13">
        <f t="shared" si="4"/>
        <v>0.66110252499399136</v>
      </c>
    </row>
    <row r="140" spans="1:21" x14ac:dyDescent="0.2">
      <c r="A140" s="12" t="s">
        <v>286</v>
      </c>
      <c r="B140" s="1" t="s">
        <v>55</v>
      </c>
      <c r="C140" s="1" t="s">
        <v>349</v>
      </c>
      <c r="D140" s="1" t="s">
        <v>30</v>
      </c>
      <c r="E140" s="1" t="s">
        <v>105</v>
      </c>
      <c r="F140" s="1" t="s">
        <v>53</v>
      </c>
      <c r="G140" s="2">
        <v>44434</v>
      </c>
      <c r="H140" s="9">
        <v>0.9</v>
      </c>
      <c r="I140" s="2">
        <v>39783</v>
      </c>
      <c r="J140" s="2" t="s">
        <v>55</v>
      </c>
      <c r="K140" s="1">
        <v>12.7</v>
      </c>
      <c r="L140" s="1" t="s">
        <v>56</v>
      </c>
      <c r="M140" s="1" t="s">
        <v>54</v>
      </c>
      <c r="N140" s="1" t="s">
        <v>390</v>
      </c>
      <c r="O140" s="1" t="s">
        <v>390</v>
      </c>
      <c r="P140" s="1" t="s">
        <v>396</v>
      </c>
      <c r="Q140">
        <v>0.95579099999999995</v>
      </c>
      <c r="R140">
        <v>0.81129700000000005</v>
      </c>
      <c r="S140" s="16">
        <v>10.473196</v>
      </c>
      <c r="T140" s="15">
        <v>1837899187</v>
      </c>
      <c r="U140" s="13">
        <f t="shared" si="4"/>
        <v>0.66949879693992731</v>
      </c>
    </row>
    <row r="141" spans="1:21" x14ac:dyDescent="0.2">
      <c r="A141" s="12" t="s">
        <v>287</v>
      </c>
      <c r="B141" s="1" t="s">
        <v>55</v>
      </c>
      <c r="C141" s="1" t="s">
        <v>349</v>
      </c>
      <c r="D141" s="1" t="s">
        <v>30</v>
      </c>
      <c r="E141" s="1" t="s">
        <v>105</v>
      </c>
      <c r="F141" s="1" t="s">
        <v>53</v>
      </c>
      <c r="G141" s="2">
        <v>44434</v>
      </c>
      <c r="H141" s="9">
        <v>0.9</v>
      </c>
      <c r="I141" s="2">
        <v>39783</v>
      </c>
      <c r="J141" s="2" t="s">
        <v>55</v>
      </c>
      <c r="K141" s="1">
        <v>12.7</v>
      </c>
      <c r="L141" s="1" t="s">
        <v>56</v>
      </c>
      <c r="M141" s="1" t="s">
        <v>54</v>
      </c>
      <c r="N141" s="1" t="s">
        <v>392</v>
      </c>
      <c r="O141" s="1" t="s">
        <v>392</v>
      </c>
      <c r="P141" s="1" t="s">
        <v>396</v>
      </c>
      <c r="Q141">
        <v>0.925284</v>
      </c>
      <c r="R141">
        <v>0.75891799999999998</v>
      </c>
      <c r="S141" s="16">
        <v>10.660812</v>
      </c>
      <c r="T141" s="15">
        <v>1692926931</v>
      </c>
      <c r="U141" s="13">
        <f t="shared" si="4"/>
        <v>0.61668918057566091</v>
      </c>
    </row>
    <row r="142" spans="1:21" x14ac:dyDescent="0.2">
      <c r="A142" s="12" t="s">
        <v>288</v>
      </c>
      <c r="B142" s="1" t="s">
        <v>55</v>
      </c>
      <c r="C142" s="1" t="s">
        <v>349</v>
      </c>
      <c r="D142" s="1" t="s">
        <v>30</v>
      </c>
      <c r="E142" s="1" t="s">
        <v>105</v>
      </c>
      <c r="F142" s="1" t="s">
        <v>53</v>
      </c>
      <c r="G142" s="2">
        <v>44434</v>
      </c>
      <c r="H142" s="9">
        <v>0.9</v>
      </c>
      <c r="I142" s="2">
        <v>39783</v>
      </c>
      <c r="J142" s="2" t="s">
        <v>55</v>
      </c>
      <c r="K142" s="1">
        <v>12.7</v>
      </c>
      <c r="L142" s="1" t="s">
        <v>56</v>
      </c>
      <c r="M142" s="1" t="s">
        <v>54</v>
      </c>
      <c r="N142" s="1" t="s">
        <v>390</v>
      </c>
      <c r="O142" s="1" t="s">
        <v>390</v>
      </c>
      <c r="P142" s="1" t="s">
        <v>396</v>
      </c>
      <c r="Q142">
        <v>0.95969000000000004</v>
      </c>
      <c r="R142">
        <v>0.80985200000000002</v>
      </c>
      <c r="S142" s="16">
        <v>10.04251</v>
      </c>
      <c r="T142" s="15">
        <v>1756393894</v>
      </c>
      <c r="U142" s="13">
        <f t="shared" si="4"/>
        <v>0.63980854189563019</v>
      </c>
    </row>
    <row r="143" spans="1:21" x14ac:dyDescent="0.2">
      <c r="A143" s="12" t="s">
        <v>289</v>
      </c>
      <c r="B143" s="1" t="s">
        <v>55</v>
      </c>
      <c r="C143" s="1" t="s">
        <v>349</v>
      </c>
      <c r="D143" s="1" t="s">
        <v>30</v>
      </c>
      <c r="E143" s="1" t="s">
        <v>105</v>
      </c>
      <c r="F143" s="1" t="s">
        <v>53</v>
      </c>
      <c r="G143" s="2">
        <v>44434</v>
      </c>
      <c r="H143" s="9">
        <v>0.9</v>
      </c>
      <c r="I143" s="2">
        <v>39783</v>
      </c>
      <c r="J143" s="2" t="s">
        <v>55</v>
      </c>
      <c r="K143" s="1">
        <v>12.7</v>
      </c>
      <c r="L143" s="1" t="s">
        <v>56</v>
      </c>
      <c r="M143" s="1" t="s">
        <v>54</v>
      </c>
      <c r="N143" s="1" t="s">
        <v>392</v>
      </c>
      <c r="O143" s="1" t="s">
        <v>392</v>
      </c>
      <c r="P143" s="1" t="s">
        <v>396</v>
      </c>
      <c r="Q143">
        <v>0.91464599999999996</v>
      </c>
      <c r="R143">
        <v>0.781613</v>
      </c>
      <c r="S143" s="16">
        <v>11.774013999999999</v>
      </c>
      <c r="T143" s="15">
        <v>1841308138</v>
      </c>
      <c r="U143" s="13">
        <f t="shared" si="4"/>
        <v>0.67074058898677646</v>
      </c>
    </row>
    <row r="144" spans="1:21" x14ac:dyDescent="0.2">
      <c r="A144" s="12" t="s">
        <v>290</v>
      </c>
      <c r="B144" s="1" t="s">
        <v>55</v>
      </c>
      <c r="C144" s="1" t="s">
        <v>349</v>
      </c>
      <c r="D144" s="1" t="s">
        <v>30</v>
      </c>
      <c r="E144" s="1" t="s">
        <v>105</v>
      </c>
      <c r="F144" s="1" t="s">
        <v>53</v>
      </c>
      <c r="G144" s="2">
        <v>44434</v>
      </c>
      <c r="H144" s="9">
        <v>0.9</v>
      </c>
      <c r="I144" s="2">
        <v>39783</v>
      </c>
      <c r="J144" s="2" t="s">
        <v>55</v>
      </c>
      <c r="K144" s="1">
        <v>12.7</v>
      </c>
      <c r="L144" s="1" t="s">
        <v>56</v>
      </c>
      <c r="M144" s="1" t="s">
        <v>54</v>
      </c>
      <c r="N144" s="1" t="s">
        <v>390</v>
      </c>
      <c r="O144" s="1" t="s">
        <v>390</v>
      </c>
      <c r="P144" s="1" t="s">
        <v>396</v>
      </c>
      <c r="Q144">
        <v>0.96601899999999996</v>
      </c>
      <c r="R144">
        <v>0.84504999999999997</v>
      </c>
      <c r="S144" s="16">
        <v>10.650029999999999</v>
      </c>
      <c r="T144" s="15">
        <v>1899016621</v>
      </c>
      <c r="U144" s="13">
        <f t="shared" si="4"/>
        <v>0.69176228604992895</v>
      </c>
    </row>
    <row r="145" spans="1:21" x14ac:dyDescent="0.2">
      <c r="A145" s="12" t="s">
        <v>291</v>
      </c>
      <c r="B145" s="1" t="s">
        <v>55</v>
      </c>
      <c r="C145" s="1" t="s">
        <v>349</v>
      </c>
      <c r="D145" s="1" t="s">
        <v>30</v>
      </c>
      <c r="E145" s="1" t="s">
        <v>105</v>
      </c>
      <c r="F145" s="1" t="s">
        <v>53</v>
      </c>
      <c r="G145" s="2">
        <v>44434</v>
      </c>
      <c r="H145" s="9">
        <v>0.9</v>
      </c>
      <c r="I145" s="2">
        <v>39783</v>
      </c>
      <c r="J145" s="2" t="s">
        <v>55</v>
      </c>
      <c r="K145" s="1">
        <v>12.7</v>
      </c>
      <c r="L145" s="1" t="s">
        <v>56</v>
      </c>
      <c r="M145" s="1" t="s">
        <v>54</v>
      </c>
      <c r="N145" s="1" t="s">
        <v>390</v>
      </c>
      <c r="O145" s="1" t="s">
        <v>390</v>
      </c>
      <c r="P145" s="1" t="s">
        <v>396</v>
      </c>
      <c r="Q145">
        <v>0.95875900000000003</v>
      </c>
      <c r="R145">
        <v>0.82154499999999997</v>
      </c>
      <c r="S145" s="16">
        <v>11.093135</v>
      </c>
      <c r="T145" s="15">
        <v>1847028779</v>
      </c>
      <c r="U145" s="13">
        <f t="shared" si="4"/>
        <v>0.67282446948159125</v>
      </c>
    </row>
    <row r="146" spans="1:21" x14ac:dyDescent="0.2">
      <c r="A146" s="12" t="s">
        <v>292</v>
      </c>
      <c r="B146" s="1" t="s">
        <v>55</v>
      </c>
      <c r="C146" s="1" t="s">
        <v>349</v>
      </c>
      <c r="D146" s="1" t="s">
        <v>30</v>
      </c>
      <c r="E146" s="1" t="s">
        <v>105</v>
      </c>
      <c r="F146" s="1" t="s">
        <v>53</v>
      </c>
      <c r="G146" s="2">
        <v>44434</v>
      </c>
      <c r="H146" s="9">
        <v>0.9</v>
      </c>
      <c r="I146" s="2">
        <v>39783</v>
      </c>
      <c r="J146" s="2" t="s">
        <v>55</v>
      </c>
      <c r="K146" s="1">
        <v>12.7</v>
      </c>
      <c r="L146" s="1" t="s">
        <v>56</v>
      </c>
      <c r="M146" s="1" t="s">
        <v>54</v>
      </c>
      <c r="N146" s="1" t="s">
        <v>391</v>
      </c>
      <c r="O146" s="1" t="s">
        <v>391</v>
      </c>
      <c r="P146" s="1" t="s">
        <v>396</v>
      </c>
      <c r="Q146">
        <v>0.9607</v>
      </c>
      <c r="R146">
        <v>0.83812900000000001</v>
      </c>
      <c r="S146" s="16">
        <v>11.797501</v>
      </c>
      <c r="T146" s="15">
        <v>1934687093</v>
      </c>
      <c r="U146" s="13">
        <f>T146/2745186691</f>
        <v>0.70475610979129577</v>
      </c>
    </row>
    <row r="147" spans="1:21" x14ac:dyDescent="0.2">
      <c r="A147" s="12" t="s">
        <v>293</v>
      </c>
      <c r="B147" s="1" t="s">
        <v>55</v>
      </c>
      <c r="C147" s="1" t="s">
        <v>349</v>
      </c>
      <c r="D147" s="1" t="s">
        <v>30</v>
      </c>
      <c r="E147" s="1" t="s">
        <v>105</v>
      </c>
      <c r="F147" s="1" t="s">
        <v>53</v>
      </c>
      <c r="G147" s="2">
        <v>44434</v>
      </c>
      <c r="H147" s="9">
        <v>0.9</v>
      </c>
      <c r="I147" s="2">
        <v>39783</v>
      </c>
      <c r="J147" s="2" t="s">
        <v>55</v>
      </c>
      <c r="K147" s="1">
        <v>12.7</v>
      </c>
      <c r="L147" s="1" t="s">
        <v>56</v>
      </c>
      <c r="M147" s="1" t="s">
        <v>54</v>
      </c>
      <c r="N147" s="1" t="s">
        <v>392</v>
      </c>
      <c r="O147" s="1" t="s">
        <v>392</v>
      </c>
      <c r="P147" s="1" t="s">
        <v>396</v>
      </c>
      <c r="Q147">
        <v>0.854128</v>
      </c>
      <c r="R147">
        <v>0.70078600000000002</v>
      </c>
      <c r="S147" s="16">
        <v>10.203239999999999</v>
      </c>
      <c r="T147" s="15">
        <v>1584219171</v>
      </c>
      <c r="U147" s="13">
        <f t="shared" ref="U147:U174" si="5">T147/2745186691</f>
        <v>0.57708977542176199</v>
      </c>
    </row>
    <row r="148" spans="1:21" x14ac:dyDescent="0.2">
      <c r="A148" s="12" t="s">
        <v>294</v>
      </c>
      <c r="B148" s="1" t="s">
        <v>55</v>
      </c>
      <c r="C148" s="1" t="s">
        <v>349</v>
      </c>
      <c r="D148" s="1" t="s">
        <v>30</v>
      </c>
      <c r="E148" s="1" t="s">
        <v>105</v>
      </c>
      <c r="F148" s="1" t="s">
        <v>53</v>
      </c>
      <c r="G148" s="2">
        <v>44434</v>
      </c>
      <c r="H148" s="9">
        <v>0.9</v>
      </c>
      <c r="I148" s="2">
        <v>39783</v>
      </c>
      <c r="J148" s="2" t="s">
        <v>55</v>
      </c>
      <c r="K148" s="1">
        <v>12.7</v>
      </c>
      <c r="L148" s="1" t="s">
        <v>56</v>
      </c>
      <c r="M148" s="1" t="s">
        <v>54</v>
      </c>
      <c r="N148" s="1" t="s">
        <v>390</v>
      </c>
      <c r="O148" s="1" t="s">
        <v>390</v>
      </c>
      <c r="P148" s="1" t="s">
        <v>396</v>
      </c>
      <c r="Q148">
        <v>0.95793499999999998</v>
      </c>
      <c r="R148">
        <v>0.82341600000000004</v>
      </c>
      <c r="S148" s="16">
        <v>10.948434000000001</v>
      </c>
      <c r="T148" s="15">
        <v>1895430023</v>
      </c>
      <c r="U148" s="13">
        <f t="shared" si="5"/>
        <v>0.69045578182864653</v>
      </c>
    </row>
    <row r="149" spans="1:21" x14ac:dyDescent="0.2">
      <c r="A149" s="12" t="s">
        <v>295</v>
      </c>
      <c r="B149" s="1" t="s">
        <v>55</v>
      </c>
      <c r="C149" s="1" t="s">
        <v>349</v>
      </c>
      <c r="D149" s="1" t="s">
        <v>30</v>
      </c>
      <c r="E149" s="1" t="s">
        <v>105</v>
      </c>
      <c r="F149" s="1" t="s">
        <v>53</v>
      </c>
      <c r="G149" s="2">
        <v>44434</v>
      </c>
      <c r="H149" s="9">
        <v>0.9</v>
      </c>
      <c r="I149" s="2">
        <v>39783</v>
      </c>
      <c r="J149" s="2" t="s">
        <v>55</v>
      </c>
      <c r="K149" s="1">
        <v>12.7</v>
      </c>
      <c r="L149" s="1" t="s">
        <v>56</v>
      </c>
      <c r="M149" s="1" t="s">
        <v>54</v>
      </c>
      <c r="N149" s="1" t="s">
        <v>392</v>
      </c>
      <c r="O149" s="1" t="s">
        <v>391</v>
      </c>
      <c r="P149" s="1" t="s">
        <v>396</v>
      </c>
      <c r="Q149">
        <v>0.94995499999999999</v>
      </c>
      <c r="R149">
        <v>0.810415</v>
      </c>
      <c r="S149" s="16">
        <v>12.156375000000001</v>
      </c>
      <c r="T149" s="15">
        <v>1882979723</v>
      </c>
      <c r="U149" s="13">
        <f t="shared" si="5"/>
        <v>0.68592046186632194</v>
      </c>
    </row>
    <row r="150" spans="1:21" x14ac:dyDescent="0.2">
      <c r="A150" s="12" t="s">
        <v>296</v>
      </c>
      <c r="B150" s="1" t="s">
        <v>55</v>
      </c>
      <c r="C150" s="1" t="s">
        <v>349</v>
      </c>
      <c r="D150" s="1" t="s">
        <v>30</v>
      </c>
      <c r="E150" s="1" t="s">
        <v>105</v>
      </c>
      <c r="F150" s="1" t="s">
        <v>53</v>
      </c>
      <c r="G150" s="2">
        <v>44434</v>
      </c>
      <c r="H150" s="9">
        <v>0.9</v>
      </c>
      <c r="I150" s="2">
        <v>39783</v>
      </c>
      <c r="J150" s="2" t="s">
        <v>55</v>
      </c>
      <c r="K150" s="1">
        <v>12.7</v>
      </c>
      <c r="L150" s="1" t="s">
        <v>56</v>
      </c>
      <c r="M150" s="1" t="s">
        <v>54</v>
      </c>
      <c r="N150" s="1" t="s">
        <v>392</v>
      </c>
      <c r="O150" s="1" t="s">
        <v>392</v>
      </c>
      <c r="P150" s="1" t="s">
        <v>396</v>
      </c>
      <c r="Q150">
        <v>0.82193499999999997</v>
      </c>
      <c r="R150">
        <v>0.60183600000000004</v>
      </c>
      <c r="S150" s="16">
        <v>8.4124809999999997</v>
      </c>
      <c r="T150" s="15">
        <v>1287477260</v>
      </c>
      <c r="U150" s="13">
        <f t="shared" si="5"/>
        <v>0.46899442730833202</v>
      </c>
    </row>
    <row r="151" spans="1:21" x14ac:dyDescent="0.2">
      <c r="A151" s="12" t="s">
        <v>297</v>
      </c>
      <c r="B151" s="1" t="s">
        <v>55</v>
      </c>
      <c r="C151" s="1" t="s">
        <v>349</v>
      </c>
      <c r="D151" s="1" t="s">
        <v>30</v>
      </c>
      <c r="E151" s="1" t="s">
        <v>105</v>
      </c>
      <c r="F151" s="1" t="s">
        <v>53</v>
      </c>
      <c r="G151" s="2">
        <v>44434</v>
      </c>
      <c r="H151" s="9">
        <v>0.9</v>
      </c>
      <c r="I151" s="2">
        <v>39783</v>
      </c>
      <c r="J151" s="2" t="s">
        <v>55</v>
      </c>
      <c r="K151" s="1">
        <v>12.7</v>
      </c>
      <c r="L151" s="1" t="s">
        <v>56</v>
      </c>
      <c r="M151" s="1" t="s">
        <v>54</v>
      </c>
      <c r="N151" s="1" t="s">
        <v>392</v>
      </c>
      <c r="O151" s="1" t="s">
        <v>392</v>
      </c>
      <c r="P151" s="1" t="s">
        <v>396</v>
      </c>
      <c r="Q151">
        <v>0.92064400000000002</v>
      </c>
      <c r="R151">
        <v>0.724441</v>
      </c>
      <c r="S151" s="16">
        <v>8.7438070000000003</v>
      </c>
      <c r="T151" s="15">
        <v>1504667901</v>
      </c>
      <c r="U151" s="13">
        <f t="shared" si="5"/>
        <v>0.54811132005448004</v>
      </c>
    </row>
    <row r="152" spans="1:21" x14ac:dyDescent="0.2">
      <c r="A152" s="12" t="s">
        <v>298</v>
      </c>
      <c r="B152" s="1" t="s">
        <v>55</v>
      </c>
      <c r="C152" s="1" t="s">
        <v>349</v>
      </c>
      <c r="D152" s="1" t="s">
        <v>30</v>
      </c>
      <c r="E152" s="1" t="s">
        <v>105</v>
      </c>
      <c r="F152" s="1" t="s">
        <v>53</v>
      </c>
      <c r="G152" s="2">
        <v>44434</v>
      </c>
      <c r="H152" s="9">
        <v>0.9</v>
      </c>
      <c r="I152" s="2">
        <v>39783</v>
      </c>
      <c r="J152" s="2" t="s">
        <v>55</v>
      </c>
      <c r="K152" s="1">
        <v>12.7</v>
      </c>
      <c r="L152" s="1" t="s">
        <v>56</v>
      </c>
      <c r="M152" s="1" t="s">
        <v>54</v>
      </c>
      <c r="N152" s="1" t="s">
        <v>390</v>
      </c>
      <c r="O152" s="1" t="s">
        <v>390</v>
      </c>
      <c r="P152" s="1" t="s">
        <v>396</v>
      </c>
      <c r="Q152">
        <v>0.95770100000000002</v>
      </c>
      <c r="R152">
        <v>0.76532199999999995</v>
      </c>
      <c r="S152" s="16">
        <v>8.6490720000000003</v>
      </c>
      <c r="T152" s="15">
        <v>1550461106</v>
      </c>
      <c r="U152" s="13">
        <f t="shared" si="5"/>
        <v>0.56479259173269825</v>
      </c>
    </row>
    <row r="153" spans="1:21" x14ac:dyDescent="0.2">
      <c r="A153" s="12" t="s">
        <v>299</v>
      </c>
      <c r="B153" s="1" t="s">
        <v>55</v>
      </c>
      <c r="C153" s="1" t="s">
        <v>349</v>
      </c>
      <c r="D153" s="1" t="s">
        <v>30</v>
      </c>
      <c r="E153" s="1" t="s">
        <v>105</v>
      </c>
      <c r="F153" s="1" t="s">
        <v>53</v>
      </c>
      <c r="G153" s="2">
        <v>44434</v>
      </c>
      <c r="H153" s="9">
        <v>0.9</v>
      </c>
      <c r="I153" s="2">
        <v>39783</v>
      </c>
      <c r="J153" s="2" t="s">
        <v>55</v>
      </c>
      <c r="K153" s="1">
        <v>12.7</v>
      </c>
      <c r="L153" s="1" t="s">
        <v>56</v>
      </c>
      <c r="M153" s="1" t="s">
        <v>54</v>
      </c>
      <c r="N153" s="1" t="s">
        <v>390</v>
      </c>
      <c r="O153" s="1" t="s">
        <v>390</v>
      </c>
      <c r="P153" s="1" t="s">
        <v>396</v>
      </c>
      <c r="Q153">
        <v>0.95417799999999997</v>
      </c>
      <c r="R153">
        <v>0.74685199999999996</v>
      </c>
      <c r="S153" s="16">
        <v>8.6022029999999994</v>
      </c>
      <c r="T153" s="15">
        <v>1517351237</v>
      </c>
      <c r="U153" s="13">
        <f t="shared" si="5"/>
        <v>0.55273152896106625</v>
      </c>
    </row>
    <row r="154" spans="1:21" x14ac:dyDescent="0.2">
      <c r="A154" s="12" t="s">
        <v>300</v>
      </c>
      <c r="B154" s="1" t="s">
        <v>55</v>
      </c>
      <c r="C154" s="1" t="s">
        <v>349</v>
      </c>
      <c r="D154" s="1" t="s">
        <v>30</v>
      </c>
      <c r="E154" s="1" t="s">
        <v>105</v>
      </c>
      <c r="F154" s="1" t="s">
        <v>53</v>
      </c>
      <c r="G154" s="2">
        <v>44434</v>
      </c>
      <c r="H154" s="9">
        <v>0.9</v>
      </c>
      <c r="I154" s="2">
        <v>39783</v>
      </c>
      <c r="J154" s="2" t="s">
        <v>55</v>
      </c>
      <c r="K154" s="1">
        <v>12.7</v>
      </c>
      <c r="L154" s="1" t="s">
        <v>56</v>
      </c>
      <c r="M154" s="1" t="s">
        <v>54</v>
      </c>
      <c r="N154" s="1" t="s">
        <v>390</v>
      </c>
      <c r="O154" s="1" t="s">
        <v>390</v>
      </c>
      <c r="P154" s="1" t="s">
        <v>396</v>
      </c>
      <c r="Q154">
        <v>0.94992500000000002</v>
      </c>
      <c r="R154">
        <v>0.79011900000000002</v>
      </c>
      <c r="S154" s="16">
        <v>10.110016999999999</v>
      </c>
      <c r="T154" s="15">
        <v>1775852522</v>
      </c>
      <c r="U154" s="13">
        <f t="shared" si="5"/>
        <v>0.64689681318289616</v>
      </c>
    </row>
    <row r="155" spans="1:21" x14ac:dyDescent="0.2">
      <c r="A155" s="12" t="s">
        <v>301</v>
      </c>
      <c r="B155" s="1" t="s">
        <v>55</v>
      </c>
      <c r="C155" s="1" t="s">
        <v>349</v>
      </c>
      <c r="D155" s="1" t="s">
        <v>30</v>
      </c>
      <c r="E155" s="1" t="s">
        <v>105</v>
      </c>
      <c r="F155" s="1" t="s">
        <v>53</v>
      </c>
      <c r="G155" s="2">
        <v>44434</v>
      </c>
      <c r="H155" s="9">
        <v>0.9</v>
      </c>
      <c r="I155" s="2">
        <v>39783</v>
      </c>
      <c r="J155" s="2" t="s">
        <v>55</v>
      </c>
      <c r="K155" s="1">
        <v>12.7</v>
      </c>
      <c r="L155" s="1" t="s">
        <v>56</v>
      </c>
      <c r="M155" s="1" t="s">
        <v>54</v>
      </c>
      <c r="N155" s="1" t="s">
        <v>390</v>
      </c>
      <c r="O155" s="1" t="s">
        <v>390</v>
      </c>
      <c r="P155" s="1" t="s">
        <v>396</v>
      </c>
      <c r="Q155">
        <v>0.95838199999999996</v>
      </c>
      <c r="R155">
        <v>0.80333399999999999</v>
      </c>
      <c r="S155" s="16">
        <v>9.9230239999999998</v>
      </c>
      <c r="T155" s="15">
        <v>1752760176</v>
      </c>
      <c r="U155" s="13">
        <f t="shared" si="5"/>
        <v>0.6384848730858137</v>
      </c>
    </row>
    <row r="156" spans="1:21" x14ac:dyDescent="0.2">
      <c r="A156" s="12" t="s">
        <v>302</v>
      </c>
      <c r="B156" s="1" t="s">
        <v>55</v>
      </c>
      <c r="C156" s="1" t="s">
        <v>349</v>
      </c>
      <c r="D156" s="1" t="s">
        <v>30</v>
      </c>
      <c r="E156" s="1" t="s">
        <v>105</v>
      </c>
      <c r="F156" s="1" t="s">
        <v>53</v>
      </c>
      <c r="G156" s="2">
        <v>44434</v>
      </c>
      <c r="H156" s="9">
        <v>0.9</v>
      </c>
      <c r="I156" s="2">
        <v>39783</v>
      </c>
      <c r="J156" s="2" t="s">
        <v>55</v>
      </c>
      <c r="K156" s="1">
        <v>12.7</v>
      </c>
      <c r="L156" s="1" t="s">
        <v>56</v>
      </c>
      <c r="M156" s="1" t="s">
        <v>54</v>
      </c>
      <c r="N156" s="1" t="s">
        <v>390</v>
      </c>
      <c r="O156" s="1" t="s">
        <v>390</v>
      </c>
      <c r="P156" s="1" t="s">
        <v>396</v>
      </c>
      <c r="Q156">
        <v>0.96229799999999999</v>
      </c>
      <c r="R156">
        <v>0.88433600000000001</v>
      </c>
      <c r="S156" s="16">
        <v>14.557608999999999</v>
      </c>
      <c r="T156" s="15">
        <v>2177749287</v>
      </c>
      <c r="U156" s="13">
        <f t="shared" si="5"/>
        <v>0.79329733534687319</v>
      </c>
    </row>
    <row r="157" spans="1:21" x14ac:dyDescent="0.2">
      <c r="A157" s="12" t="s">
        <v>303</v>
      </c>
      <c r="B157" s="1" t="s">
        <v>55</v>
      </c>
      <c r="C157" s="1" t="s">
        <v>349</v>
      </c>
      <c r="D157" s="1" t="s">
        <v>30</v>
      </c>
      <c r="E157" s="1" t="s">
        <v>105</v>
      </c>
      <c r="F157" s="1" t="s">
        <v>53</v>
      </c>
      <c r="G157" s="2">
        <v>44434</v>
      </c>
      <c r="H157" s="9">
        <v>0.9</v>
      </c>
      <c r="I157" s="2">
        <v>39783</v>
      </c>
      <c r="J157" s="2" t="s">
        <v>55</v>
      </c>
      <c r="K157" s="1">
        <v>12.7</v>
      </c>
      <c r="L157" s="1" t="s">
        <v>56</v>
      </c>
      <c r="M157" s="1" t="s">
        <v>54</v>
      </c>
      <c r="N157" s="1" t="s">
        <v>391</v>
      </c>
      <c r="O157" s="1" t="s">
        <v>391</v>
      </c>
      <c r="P157" s="1" t="s">
        <v>396</v>
      </c>
      <c r="Q157">
        <v>0.95666700000000005</v>
      </c>
      <c r="R157">
        <v>0.81050800000000001</v>
      </c>
      <c r="S157" s="16">
        <v>10.834479</v>
      </c>
      <c r="T157" s="15">
        <v>1837322330</v>
      </c>
      <c r="U157" s="13">
        <f t="shared" si="5"/>
        <v>0.66928866296182987</v>
      </c>
    </row>
    <row r="158" spans="1:21" x14ac:dyDescent="0.2">
      <c r="A158" s="12" t="s">
        <v>304</v>
      </c>
      <c r="B158" s="1" t="s">
        <v>55</v>
      </c>
      <c r="C158" s="1" t="s">
        <v>349</v>
      </c>
      <c r="D158" s="1" t="s">
        <v>30</v>
      </c>
      <c r="E158" s="1" t="s">
        <v>105</v>
      </c>
      <c r="F158" s="1" t="s">
        <v>53</v>
      </c>
      <c r="G158" s="2">
        <v>44434</v>
      </c>
      <c r="H158" s="9">
        <v>0.9</v>
      </c>
      <c r="I158" s="2">
        <v>39783</v>
      </c>
      <c r="J158" s="2" t="s">
        <v>55</v>
      </c>
      <c r="K158" s="1">
        <v>12.7</v>
      </c>
      <c r="L158" s="1" t="s">
        <v>56</v>
      </c>
      <c r="M158" s="1" t="s">
        <v>54</v>
      </c>
      <c r="N158" s="1" t="s">
        <v>390</v>
      </c>
      <c r="O158" s="1" t="s">
        <v>390</v>
      </c>
      <c r="P158" s="1" t="s">
        <v>396</v>
      </c>
      <c r="Q158">
        <v>0.96079199999999998</v>
      </c>
      <c r="R158">
        <v>0.82674199999999998</v>
      </c>
      <c r="S158" s="16">
        <v>10.179724999999999</v>
      </c>
      <c r="T158" s="15">
        <v>1839114044</v>
      </c>
      <c r="U158" s="13">
        <f t="shared" si="5"/>
        <v>0.66994133769826003</v>
      </c>
    </row>
    <row r="159" spans="1:21" x14ac:dyDescent="0.2">
      <c r="A159" s="12" t="s">
        <v>305</v>
      </c>
      <c r="B159" s="1" t="s">
        <v>55</v>
      </c>
      <c r="C159" s="1" t="s">
        <v>349</v>
      </c>
      <c r="D159" s="1" t="s">
        <v>30</v>
      </c>
      <c r="E159" s="1" t="s">
        <v>105</v>
      </c>
      <c r="F159" s="1" t="s">
        <v>53</v>
      </c>
      <c r="G159" s="2">
        <v>44434</v>
      </c>
      <c r="H159" s="9">
        <v>0.9</v>
      </c>
      <c r="I159" s="2">
        <v>39783</v>
      </c>
      <c r="J159" s="2" t="s">
        <v>55</v>
      </c>
      <c r="K159" s="1">
        <v>12.7</v>
      </c>
      <c r="L159" s="1" t="s">
        <v>56</v>
      </c>
      <c r="M159" s="1" t="s">
        <v>54</v>
      </c>
      <c r="N159" s="1" t="s">
        <v>392</v>
      </c>
      <c r="O159" s="1" t="s">
        <v>392</v>
      </c>
      <c r="P159" s="1" t="s">
        <v>396</v>
      </c>
      <c r="Q159">
        <v>0.90922499999999995</v>
      </c>
      <c r="R159">
        <v>0.72760899999999995</v>
      </c>
      <c r="S159" s="16">
        <v>9.0911709999999992</v>
      </c>
      <c r="T159" s="15">
        <v>1545462289</v>
      </c>
      <c r="U159" s="13">
        <f t="shared" si="5"/>
        <v>0.56297165291772133</v>
      </c>
    </row>
    <row r="160" spans="1:21" x14ac:dyDescent="0.2">
      <c r="A160" s="12" t="s">
        <v>306</v>
      </c>
      <c r="B160" s="1" t="s">
        <v>55</v>
      </c>
      <c r="C160" s="1" t="s">
        <v>349</v>
      </c>
      <c r="D160" s="1" t="s">
        <v>30</v>
      </c>
      <c r="E160" s="1" t="s">
        <v>105</v>
      </c>
      <c r="F160" s="1" t="s">
        <v>53</v>
      </c>
      <c r="G160" s="2">
        <v>44434</v>
      </c>
      <c r="H160" s="9">
        <v>0.9</v>
      </c>
      <c r="I160" s="2">
        <v>39783</v>
      </c>
      <c r="J160" s="2" t="s">
        <v>55</v>
      </c>
      <c r="K160" s="1">
        <v>12.7</v>
      </c>
      <c r="L160" s="1" t="s">
        <v>56</v>
      </c>
      <c r="M160" s="1" t="s">
        <v>54</v>
      </c>
      <c r="N160" s="1" t="s">
        <v>391</v>
      </c>
      <c r="O160" s="1" t="s">
        <v>391</v>
      </c>
      <c r="P160" s="1" t="s">
        <v>396</v>
      </c>
      <c r="Q160">
        <v>0.95888200000000001</v>
      </c>
      <c r="R160">
        <v>0.81323699999999999</v>
      </c>
      <c r="S160" s="16">
        <v>10.018098999999999</v>
      </c>
      <c r="T160" s="15">
        <v>1780650275</v>
      </c>
      <c r="U160" s="13">
        <f t="shared" si="5"/>
        <v>0.6486445096203477</v>
      </c>
    </row>
    <row r="161" spans="1:21" x14ac:dyDescent="0.2">
      <c r="A161" s="12" t="s">
        <v>307</v>
      </c>
      <c r="B161" s="1" t="s">
        <v>55</v>
      </c>
      <c r="C161" s="1" t="s">
        <v>349</v>
      </c>
      <c r="D161" s="1" t="s">
        <v>30</v>
      </c>
      <c r="E161" s="1" t="s">
        <v>105</v>
      </c>
      <c r="F161" s="1" t="s">
        <v>53</v>
      </c>
      <c r="G161" s="2">
        <v>44434</v>
      </c>
      <c r="H161" s="9">
        <v>0.9</v>
      </c>
      <c r="I161" s="2">
        <v>39783</v>
      </c>
      <c r="J161" s="2" t="s">
        <v>55</v>
      </c>
      <c r="K161" s="1">
        <v>12.7</v>
      </c>
      <c r="L161" s="1" t="s">
        <v>56</v>
      </c>
      <c r="M161" s="1" t="s">
        <v>54</v>
      </c>
      <c r="N161" s="1" t="s">
        <v>390</v>
      </c>
      <c r="O161" s="1" t="s">
        <v>390</v>
      </c>
      <c r="P161" s="1" t="s">
        <v>396</v>
      </c>
      <c r="Q161">
        <v>0.954291</v>
      </c>
      <c r="R161">
        <v>0.72150000000000003</v>
      </c>
      <c r="S161" s="16">
        <v>7.7449529999999998</v>
      </c>
      <c r="T161" s="15">
        <v>1360248695</v>
      </c>
      <c r="U161" s="13">
        <f t="shared" si="5"/>
        <v>0.49550316539837835</v>
      </c>
    </row>
    <row r="162" spans="1:21" x14ac:dyDescent="0.2">
      <c r="A162" s="12" t="s">
        <v>308</v>
      </c>
      <c r="B162" s="1" t="s">
        <v>55</v>
      </c>
      <c r="C162" s="1" t="s">
        <v>349</v>
      </c>
      <c r="D162" s="1" t="s">
        <v>30</v>
      </c>
      <c r="E162" s="1" t="s">
        <v>105</v>
      </c>
      <c r="F162" s="1" t="s">
        <v>53</v>
      </c>
      <c r="G162" s="2">
        <v>44434</v>
      </c>
      <c r="H162" s="9">
        <v>0.9</v>
      </c>
      <c r="I162" s="2">
        <v>39783</v>
      </c>
      <c r="J162" s="2" t="s">
        <v>55</v>
      </c>
      <c r="K162" s="1">
        <v>12.7</v>
      </c>
      <c r="L162" s="1" t="s">
        <v>56</v>
      </c>
      <c r="M162" s="1" t="s">
        <v>54</v>
      </c>
      <c r="N162" s="1" t="s">
        <v>392</v>
      </c>
      <c r="O162" s="1" t="s">
        <v>392</v>
      </c>
      <c r="P162" s="1" t="s">
        <v>396</v>
      </c>
      <c r="Q162">
        <v>0.91627800000000004</v>
      </c>
      <c r="R162">
        <v>0.74505600000000005</v>
      </c>
      <c r="S162" s="16">
        <v>9.7302060000000008</v>
      </c>
      <c r="T162" s="15">
        <v>1639891120</v>
      </c>
      <c r="U162" s="13">
        <f t="shared" si="5"/>
        <v>0.5973696161999934</v>
      </c>
    </row>
    <row r="163" spans="1:21" x14ac:dyDescent="0.2">
      <c r="A163" s="12" t="s">
        <v>309</v>
      </c>
      <c r="B163" s="1" t="s">
        <v>55</v>
      </c>
      <c r="C163" s="1" t="s">
        <v>349</v>
      </c>
      <c r="D163" s="1" t="s">
        <v>30</v>
      </c>
      <c r="E163" s="1" t="s">
        <v>105</v>
      </c>
      <c r="F163" s="1" t="s">
        <v>53</v>
      </c>
      <c r="G163" s="2">
        <v>44434</v>
      </c>
      <c r="H163" s="9">
        <v>0.9</v>
      </c>
      <c r="I163" s="2">
        <v>39783</v>
      </c>
      <c r="J163" s="2" t="s">
        <v>55</v>
      </c>
      <c r="K163" s="1">
        <v>12.7</v>
      </c>
      <c r="L163" s="1" t="s">
        <v>56</v>
      </c>
      <c r="M163" s="1" t="s">
        <v>54</v>
      </c>
      <c r="N163" s="1" t="s">
        <v>391</v>
      </c>
      <c r="O163" s="1" t="s">
        <v>391</v>
      </c>
      <c r="P163" s="1" t="s">
        <v>396</v>
      </c>
      <c r="Q163">
        <v>0.95925899999999997</v>
      </c>
      <c r="R163">
        <v>0.80141899999999999</v>
      </c>
      <c r="S163" s="16">
        <v>9.2810469999999992</v>
      </c>
      <c r="T163" s="15">
        <v>1718931928</v>
      </c>
      <c r="U163" s="13">
        <f t="shared" si="5"/>
        <v>0.6261621235581023</v>
      </c>
    </row>
    <row r="164" spans="1:21" x14ac:dyDescent="0.2">
      <c r="A164" s="12" t="s">
        <v>310</v>
      </c>
      <c r="B164" s="1" t="s">
        <v>55</v>
      </c>
      <c r="C164" s="1" t="s">
        <v>349</v>
      </c>
      <c r="D164" s="1" t="s">
        <v>30</v>
      </c>
      <c r="E164" s="1" t="s">
        <v>105</v>
      </c>
      <c r="F164" s="1" t="s">
        <v>53</v>
      </c>
      <c r="G164" s="2">
        <v>44434</v>
      </c>
      <c r="H164" s="9">
        <v>0.9</v>
      </c>
      <c r="I164" s="2">
        <v>39783</v>
      </c>
      <c r="J164" s="2" t="s">
        <v>55</v>
      </c>
      <c r="K164" s="1">
        <v>12.7</v>
      </c>
      <c r="L164" s="1" t="s">
        <v>56</v>
      </c>
      <c r="M164" s="1" t="s">
        <v>54</v>
      </c>
      <c r="N164" s="1" t="s">
        <v>391</v>
      </c>
      <c r="O164" s="1" t="s">
        <v>391</v>
      </c>
      <c r="P164" s="1" t="s">
        <v>396</v>
      </c>
      <c r="Q164">
        <v>0.94732700000000003</v>
      </c>
      <c r="R164">
        <v>0.73736699999999999</v>
      </c>
      <c r="S164" s="16">
        <v>8.2295590000000001</v>
      </c>
      <c r="T164" s="15">
        <v>1475303093</v>
      </c>
      <c r="U164" s="13">
        <f t="shared" si="5"/>
        <v>0.53741448544710291</v>
      </c>
    </row>
    <row r="165" spans="1:21" x14ac:dyDescent="0.2">
      <c r="A165" s="12" t="s">
        <v>311</v>
      </c>
      <c r="B165" s="1" t="s">
        <v>55</v>
      </c>
      <c r="C165" s="1" t="s">
        <v>349</v>
      </c>
      <c r="D165" s="1" t="s">
        <v>30</v>
      </c>
      <c r="E165" s="1" t="s">
        <v>105</v>
      </c>
      <c r="F165" s="1" t="s">
        <v>53</v>
      </c>
      <c r="G165" s="2">
        <v>44434</v>
      </c>
      <c r="H165" s="9">
        <v>0.9</v>
      </c>
      <c r="I165" s="2">
        <v>39783</v>
      </c>
      <c r="J165" s="2" t="s">
        <v>55</v>
      </c>
      <c r="K165" s="1">
        <v>12.7</v>
      </c>
      <c r="L165" s="1" t="s">
        <v>56</v>
      </c>
      <c r="M165" s="1" t="s">
        <v>54</v>
      </c>
      <c r="N165" s="1" t="s">
        <v>391</v>
      </c>
      <c r="O165" s="1" t="s">
        <v>390</v>
      </c>
      <c r="P165" s="1" t="s">
        <v>396</v>
      </c>
      <c r="Q165">
        <v>0.96654799999999996</v>
      </c>
      <c r="R165">
        <v>0.84745300000000001</v>
      </c>
      <c r="S165" s="16">
        <v>10.777867000000001</v>
      </c>
      <c r="T165" s="15">
        <v>1908292139</v>
      </c>
      <c r="U165" s="13">
        <f t="shared" si="5"/>
        <v>0.69514111563205161</v>
      </c>
    </row>
    <row r="166" spans="1:21" x14ac:dyDescent="0.2">
      <c r="A166" s="12" t="s">
        <v>312</v>
      </c>
      <c r="B166" s="1" t="s">
        <v>55</v>
      </c>
      <c r="C166" s="1" t="s">
        <v>349</v>
      </c>
      <c r="D166" s="1" t="s">
        <v>30</v>
      </c>
      <c r="E166" s="1" t="s">
        <v>105</v>
      </c>
      <c r="F166" s="1" t="s">
        <v>53</v>
      </c>
      <c r="G166" s="2">
        <v>44434</v>
      </c>
      <c r="H166" s="9">
        <v>0.9</v>
      </c>
      <c r="I166" s="2">
        <v>39783</v>
      </c>
      <c r="J166" s="2" t="s">
        <v>55</v>
      </c>
      <c r="K166" s="1">
        <v>12.7</v>
      </c>
      <c r="L166" s="1" t="s">
        <v>56</v>
      </c>
      <c r="M166" s="1" t="s">
        <v>54</v>
      </c>
      <c r="N166" s="1" t="s">
        <v>391</v>
      </c>
      <c r="O166" s="1" t="s">
        <v>391</v>
      </c>
      <c r="P166" s="1" t="s">
        <v>396</v>
      </c>
      <c r="Q166">
        <v>0.96187400000000001</v>
      </c>
      <c r="R166">
        <v>0.85439299999999996</v>
      </c>
      <c r="S166" s="16">
        <v>12.111997000000001</v>
      </c>
      <c r="T166" s="15">
        <v>2005429464</v>
      </c>
      <c r="U166" s="13">
        <f t="shared" si="5"/>
        <v>0.73052571272282918</v>
      </c>
    </row>
    <row r="167" spans="1:21" x14ac:dyDescent="0.2">
      <c r="A167" s="12" t="s">
        <v>313</v>
      </c>
      <c r="B167" s="1" t="s">
        <v>55</v>
      </c>
      <c r="C167" s="1" t="s">
        <v>349</v>
      </c>
      <c r="D167" s="1" t="s">
        <v>30</v>
      </c>
      <c r="E167" s="1" t="s">
        <v>105</v>
      </c>
      <c r="F167" s="1" t="s">
        <v>53</v>
      </c>
      <c r="G167" s="2">
        <v>44434</v>
      </c>
      <c r="H167" s="9">
        <v>0.9</v>
      </c>
      <c r="I167" s="2">
        <v>39783</v>
      </c>
      <c r="J167" s="2" t="s">
        <v>55</v>
      </c>
      <c r="K167" s="1">
        <v>12.7</v>
      </c>
      <c r="L167" s="1" t="s">
        <v>56</v>
      </c>
      <c r="M167" s="1" t="s">
        <v>54</v>
      </c>
      <c r="N167" s="1" t="s">
        <v>390</v>
      </c>
      <c r="O167" s="1" t="s">
        <v>390</v>
      </c>
      <c r="P167" s="1" t="s">
        <v>396</v>
      </c>
      <c r="Q167">
        <v>0.95707600000000004</v>
      </c>
      <c r="R167">
        <v>0.79928699999999997</v>
      </c>
      <c r="S167" s="16">
        <v>10.023642000000001</v>
      </c>
      <c r="T167" s="15">
        <v>1755623871</v>
      </c>
      <c r="U167" s="13">
        <f t="shared" si="5"/>
        <v>0.63952804257566609</v>
      </c>
    </row>
    <row r="168" spans="1:21" x14ac:dyDescent="0.2">
      <c r="A168" s="12" t="s">
        <v>314</v>
      </c>
      <c r="B168" s="1" t="s">
        <v>55</v>
      </c>
      <c r="C168" s="1" t="s">
        <v>349</v>
      </c>
      <c r="D168" s="1" t="s">
        <v>30</v>
      </c>
      <c r="E168" s="1" t="s">
        <v>105</v>
      </c>
      <c r="F168" s="1" t="s">
        <v>53</v>
      </c>
      <c r="G168" s="2">
        <v>44434</v>
      </c>
      <c r="H168" s="9">
        <v>0.9</v>
      </c>
      <c r="I168" s="2">
        <v>39783</v>
      </c>
      <c r="J168" s="2" t="s">
        <v>55</v>
      </c>
      <c r="K168" s="1">
        <v>12.7</v>
      </c>
      <c r="L168" s="1" t="s">
        <v>56</v>
      </c>
      <c r="M168" s="1" t="s">
        <v>54</v>
      </c>
      <c r="N168" s="1" t="s">
        <v>390</v>
      </c>
      <c r="O168" s="1" t="s">
        <v>390</v>
      </c>
      <c r="P168" s="1" t="s">
        <v>396</v>
      </c>
      <c r="Q168">
        <v>0.96329399999999998</v>
      </c>
      <c r="R168">
        <v>0.83838699999999999</v>
      </c>
      <c r="S168" s="16">
        <v>11.11026</v>
      </c>
      <c r="T168" s="15">
        <v>1900748705</v>
      </c>
      <c r="U168" s="13">
        <f t="shared" si="5"/>
        <v>0.69239323913070805</v>
      </c>
    </row>
    <row r="169" spans="1:21" x14ac:dyDescent="0.2">
      <c r="A169" s="12" t="s">
        <v>315</v>
      </c>
      <c r="B169" s="1" t="s">
        <v>55</v>
      </c>
      <c r="C169" s="1" t="s">
        <v>349</v>
      </c>
      <c r="D169" s="1" t="s">
        <v>30</v>
      </c>
      <c r="E169" s="1" t="s">
        <v>105</v>
      </c>
      <c r="F169" s="1" t="s">
        <v>53</v>
      </c>
      <c r="G169" s="2">
        <v>44434</v>
      </c>
      <c r="H169" s="9">
        <v>0.9</v>
      </c>
      <c r="I169" s="2">
        <v>39783</v>
      </c>
      <c r="J169" s="2" t="s">
        <v>55</v>
      </c>
      <c r="K169" s="1">
        <v>12.7</v>
      </c>
      <c r="L169" s="1" t="s">
        <v>56</v>
      </c>
      <c r="M169" s="1" t="s">
        <v>54</v>
      </c>
      <c r="N169" s="1" t="s">
        <v>390</v>
      </c>
      <c r="O169" s="1" t="s">
        <v>390</v>
      </c>
      <c r="P169" s="1" t="s">
        <v>396</v>
      </c>
      <c r="Q169">
        <v>0.96260500000000004</v>
      </c>
      <c r="R169">
        <v>0.79395800000000005</v>
      </c>
      <c r="S169" s="16">
        <v>9.2484319999999993</v>
      </c>
      <c r="T169" s="15">
        <v>1669322733</v>
      </c>
      <c r="U169" s="13">
        <f t="shared" si="5"/>
        <v>0.60809078612861456</v>
      </c>
    </row>
    <row r="170" spans="1:21" x14ac:dyDescent="0.2">
      <c r="A170" s="12" t="s">
        <v>316</v>
      </c>
      <c r="B170" s="1" t="s">
        <v>55</v>
      </c>
      <c r="C170" s="1" t="s">
        <v>349</v>
      </c>
      <c r="D170" s="1" t="s">
        <v>30</v>
      </c>
      <c r="E170" s="1" t="s">
        <v>105</v>
      </c>
      <c r="F170" s="1" t="s">
        <v>53</v>
      </c>
      <c r="G170" s="2">
        <v>44434</v>
      </c>
      <c r="H170" s="9">
        <v>0.9</v>
      </c>
      <c r="I170" s="2">
        <v>39783</v>
      </c>
      <c r="J170" s="2" t="s">
        <v>55</v>
      </c>
      <c r="K170" s="1">
        <v>12.7</v>
      </c>
      <c r="L170" s="1" t="s">
        <v>56</v>
      </c>
      <c r="M170" s="1" t="s">
        <v>54</v>
      </c>
      <c r="N170" s="1" t="s">
        <v>390</v>
      </c>
      <c r="O170" s="1" t="s">
        <v>390</v>
      </c>
      <c r="P170" s="1" t="s">
        <v>396</v>
      </c>
      <c r="Q170">
        <v>0.94924299999999995</v>
      </c>
      <c r="R170">
        <v>0.73838199999999998</v>
      </c>
      <c r="S170" s="16">
        <v>8.4706200000000003</v>
      </c>
      <c r="T170" s="15">
        <v>1482362555</v>
      </c>
      <c r="U170" s="13">
        <f t="shared" si="5"/>
        <v>0.53998606355621448</v>
      </c>
    </row>
    <row r="171" spans="1:21" x14ac:dyDescent="0.2">
      <c r="A171" s="12" t="s">
        <v>317</v>
      </c>
      <c r="B171" s="1" t="s">
        <v>55</v>
      </c>
      <c r="C171" s="1" t="s">
        <v>349</v>
      </c>
      <c r="D171" s="1" t="s">
        <v>30</v>
      </c>
      <c r="E171" s="1" t="s">
        <v>105</v>
      </c>
      <c r="F171" s="1" t="s">
        <v>53</v>
      </c>
      <c r="G171" s="2">
        <v>44434</v>
      </c>
      <c r="H171" s="9">
        <v>0.9</v>
      </c>
      <c r="I171" s="2">
        <v>39783</v>
      </c>
      <c r="J171" s="2" t="s">
        <v>55</v>
      </c>
      <c r="K171" s="1">
        <v>12.7</v>
      </c>
      <c r="L171" s="1" t="s">
        <v>56</v>
      </c>
      <c r="M171" s="1" t="s">
        <v>54</v>
      </c>
      <c r="N171" s="1" t="s">
        <v>390</v>
      </c>
      <c r="O171" s="1" t="s">
        <v>390</v>
      </c>
      <c r="P171" s="1" t="s">
        <v>396</v>
      </c>
      <c r="Q171">
        <v>0.95772999999999997</v>
      </c>
      <c r="R171">
        <v>0.82804</v>
      </c>
      <c r="S171" s="16">
        <v>11.324966</v>
      </c>
      <c r="T171" s="15">
        <v>1904468357</v>
      </c>
      <c r="U171" s="13">
        <f t="shared" si="5"/>
        <v>0.69374821145816201</v>
      </c>
    </row>
    <row r="172" spans="1:21" x14ac:dyDescent="0.2">
      <c r="A172" s="12" t="s">
        <v>318</v>
      </c>
      <c r="B172" s="1" t="s">
        <v>55</v>
      </c>
      <c r="C172" s="1" t="s">
        <v>349</v>
      </c>
      <c r="D172" s="1" t="s">
        <v>30</v>
      </c>
      <c r="E172" s="1" t="s">
        <v>105</v>
      </c>
      <c r="F172" s="1" t="s">
        <v>53</v>
      </c>
      <c r="G172" s="2">
        <v>44434</v>
      </c>
      <c r="H172" s="9">
        <v>0.9</v>
      </c>
      <c r="I172" s="2">
        <v>39783</v>
      </c>
      <c r="J172" s="2" t="s">
        <v>55</v>
      </c>
      <c r="K172" s="1">
        <v>12.7</v>
      </c>
      <c r="L172" s="1" t="s">
        <v>56</v>
      </c>
      <c r="M172" s="1" t="s">
        <v>54</v>
      </c>
      <c r="N172" s="1" t="s">
        <v>391</v>
      </c>
      <c r="O172" s="1" t="s">
        <v>391</v>
      </c>
      <c r="P172" s="1" t="s">
        <v>396</v>
      </c>
      <c r="Q172">
        <v>0.95606599999999997</v>
      </c>
      <c r="R172">
        <v>0.79372299999999996</v>
      </c>
      <c r="S172" s="16">
        <v>9.6670979999999993</v>
      </c>
      <c r="T172" s="15">
        <v>1715605922</v>
      </c>
      <c r="U172" s="13">
        <f t="shared" si="5"/>
        <v>0.62495054621405344</v>
      </c>
    </row>
    <row r="173" spans="1:21" x14ac:dyDescent="0.2">
      <c r="A173" s="12" t="s">
        <v>319</v>
      </c>
      <c r="B173" s="1" t="s">
        <v>55</v>
      </c>
      <c r="C173" s="1" t="s">
        <v>349</v>
      </c>
      <c r="D173" s="1" t="s">
        <v>30</v>
      </c>
      <c r="E173" s="1" t="s">
        <v>105</v>
      </c>
      <c r="F173" s="1" t="s">
        <v>53</v>
      </c>
      <c r="G173" s="2">
        <v>44434</v>
      </c>
      <c r="H173" s="9">
        <v>0.9</v>
      </c>
      <c r="I173" s="2">
        <v>39783</v>
      </c>
      <c r="J173" s="2" t="s">
        <v>55</v>
      </c>
      <c r="K173" s="1">
        <v>12.7</v>
      </c>
      <c r="L173" s="1" t="s">
        <v>56</v>
      </c>
      <c r="M173" s="1" t="s">
        <v>54</v>
      </c>
      <c r="N173" s="1" t="s">
        <v>390</v>
      </c>
      <c r="O173" s="1" t="s">
        <v>390</v>
      </c>
      <c r="P173" s="1" t="s">
        <v>396</v>
      </c>
      <c r="Q173">
        <v>0.96390399999999998</v>
      </c>
      <c r="R173">
        <v>0.81205799999999995</v>
      </c>
      <c r="S173" s="16">
        <v>9.3122500000000006</v>
      </c>
      <c r="T173" s="15">
        <v>1721598586</v>
      </c>
      <c r="U173" s="13">
        <f t="shared" si="5"/>
        <v>0.62713351760162672</v>
      </c>
    </row>
    <row r="174" spans="1:21" x14ac:dyDescent="0.2">
      <c r="A174" s="12" t="s">
        <v>320</v>
      </c>
      <c r="B174" s="1" t="s">
        <v>55</v>
      </c>
      <c r="C174" s="1" t="s">
        <v>349</v>
      </c>
      <c r="D174" s="1" t="s">
        <v>30</v>
      </c>
      <c r="E174" s="1" t="s">
        <v>105</v>
      </c>
      <c r="F174" s="1" t="s">
        <v>53</v>
      </c>
      <c r="G174" s="2">
        <v>44434</v>
      </c>
      <c r="H174" s="9">
        <v>0.9</v>
      </c>
      <c r="I174" s="2">
        <v>39783</v>
      </c>
      <c r="J174" s="2" t="s">
        <v>55</v>
      </c>
      <c r="K174" s="1">
        <v>12.7</v>
      </c>
      <c r="L174" s="1" t="s">
        <v>56</v>
      </c>
      <c r="M174" s="1" t="s">
        <v>54</v>
      </c>
      <c r="N174" s="1" t="s">
        <v>390</v>
      </c>
      <c r="O174" s="1" t="s">
        <v>390</v>
      </c>
      <c r="P174" s="1" t="s">
        <v>396</v>
      </c>
      <c r="Q174">
        <v>0.96678699999999995</v>
      </c>
      <c r="R174">
        <v>0.85306599999999999</v>
      </c>
      <c r="S174" s="16">
        <v>10.620737999999999</v>
      </c>
      <c r="T174" s="15">
        <v>1938326216</v>
      </c>
      <c r="U174" s="13">
        <f t="shared" si="5"/>
        <v>0.70608174750181318</v>
      </c>
    </row>
    <row r="175" spans="1:21" x14ac:dyDescent="0.2">
      <c r="A175" s="12" t="s">
        <v>321</v>
      </c>
      <c r="B175" s="1" t="s">
        <v>55</v>
      </c>
      <c r="C175" s="1" t="s">
        <v>349</v>
      </c>
      <c r="D175" s="1" t="s">
        <v>30</v>
      </c>
      <c r="E175" s="1" t="s">
        <v>105</v>
      </c>
      <c r="F175" s="1" t="s">
        <v>53</v>
      </c>
      <c r="G175" s="2">
        <v>44434</v>
      </c>
      <c r="H175" s="9">
        <v>0.9</v>
      </c>
      <c r="I175" s="2">
        <v>39783</v>
      </c>
      <c r="J175" s="2" t="s">
        <v>55</v>
      </c>
      <c r="K175" s="1">
        <v>12.7</v>
      </c>
      <c r="L175" s="1" t="s">
        <v>56</v>
      </c>
      <c r="M175" s="1" t="s">
        <v>54</v>
      </c>
      <c r="N175" s="1" t="s">
        <v>391</v>
      </c>
      <c r="O175" s="1" t="s">
        <v>391</v>
      </c>
      <c r="P175" s="1" t="s">
        <v>396</v>
      </c>
      <c r="Q175">
        <v>0.95875999999999995</v>
      </c>
      <c r="R175">
        <v>0.81014600000000003</v>
      </c>
      <c r="S175" s="16">
        <v>9.8206880000000005</v>
      </c>
      <c r="T175" s="15">
        <v>1789630354</v>
      </c>
      <c r="U175" s="13">
        <f>T175/2745186691</f>
        <v>0.65191571847089358</v>
      </c>
    </row>
    <row r="176" spans="1:21" x14ac:dyDescent="0.2">
      <c r="A176" s="12" t="s">
        <v>322</v>
      </c>
      <c r="B176" s="1" t="s">
        <v>55</v>
      </c>
      <c r="C176" s="1" t="s">
        <v>349</v>
      </c>
      <c r="D176" s="1" t="s">
        <v>30</v>
      </c>
      <c r="E176" s="1" t="s">
        <v>105</v>
      </c>
      <c r="F176" s="1" t="s">
        <v>53</v>
      </c>
      <c r="G176" s="2">
        <v>44434</v>
      </c>
      <c r="H176" s="9">
        <v>0.9</v>
      </c>
      <c r="I176" s="2">
        <v>39783</v>
      </c>
      <c r="J176" s="2" t="s">
        <v>55</v>
      </c>
      <c r="K176" s="1">
        <v>12.7</v>
      </c>
      <c r="L176" s="1" t="s">
        <v>56</v>
      </c>
      <c r="M176" s="1" t="s">
        <v>54</v>
      </c>
      <c r="N176" s="1" t="s">
        <v>390</v>
      </c>
      <c r="O176" s="1" t="s">
        <v>390</v>
      </c>
      <c r="P176" s="1" t="s">
        <v>396</v>
      </c>
      <c r="Q176">
        <v>0.95995399999999997</v>
      </c>
      <c r="R176">
        <v>0.80296900000000004</v>
      </c>
      <c r="S176" s="16">
        <v>9.8064820000000008</v>
      </c>
      <c r="T176" s="15">
        <v>1749964467</v>
      </c>
      <c r="U176" s="13">
        <f t="shared" ref="U176:U203" si="6">T176/2745186691</f>
        <v>0.63746646912474048</v>
      </c>
    </row>
    <row r="177" spans="1:21" x14ac:dyDescent="0.2">
      <c r="A177" s="12" t="s">
        <v>323</v>
      </c>
      <c r="B177" s="1" t="s">
        <v>55</v>
      </c>
      <c r="C177" s="1" t="s">
        <v>349</v>
      </c>
      <c r="D177" s="1" t="s">
        <v>30</v>
      </c>
      <c r="E177" s="1" t="s">
        <v>105</v>
      </c>
      <c r="F177" s="1" t="s">
        <v>53</v>
      </c>
      <c r="G177" s="2">
        <v>44434</v>
      </c>
      <c r="H177" s="9">
        <v>0.9</v>
      </c>
      <c r="I177" s="2">
        <v>39783</v>
      </c>
      <c r="J177" s="2" t="s">
        <v>55</v>
      </c>
      <c r="K177" s="1">
        <v>12.7</v>
      </c>
      <c r="L177" s="1" t="s">
        <v>56</v>
      </c>
      <c r="M177" s="1" t="s">
        <v>54</v>
      </c>
      <c r="N177" s="1" t="s">
        <v>390</v>
      </c>
      <c r="O177" s="1" t="s">
        <v>390</v>
      </c>
      <c r="P177" s="1" t="s">
        <v>396</v>
      </c>
      <c r="Q177">
        <v>0.96401999999999999</v>
      </c>
      <c r="R177">
        <v>0.81974599999999997</v>
      </c>
      <c r="S177" s="16">
        <v>10.160636</v>
      </c>
      <c r="T177" s="15">
        <v>1828510317</v>
      </c>
      <c r="U177" s="13">
        <f t="shared" si="6"/>
        <v>0.66607867617700034</v>
      </c>
    </row>
    <row r="178" spans="1:21" x14ac:dyDescent="0.2">
      <c r="A178" s="12" t="s">
        <v>324</v>
      </c>
      <c r="B178" s="1" t="s">
        <v>55</v>
      </c>
      <c r="C178" s="1" t="s">
        <v>349</v>
      </c>
      <c r="D178" s="1" t="s">
        <v>30</v>
      </c>
      <c r="E178" s="1" t="s">
        <v>105</v>
      </c>
      <c r="F178" s="1" t="s">
        <v>53</v>
      </c>
      <c r="G178" s="2">
        <v>44434</v>
      </c>
      <c r="H178" s="9">
        <v>0.9</v>
      </c>
      <c r="I178" s="2">
        <v>39783</v>
      </c>
      <c r="J178" s="2" t="s">
        <v>55</v>
      </c>
      <c r="K178" s="1">
        <v>12.7</v>
      </c>
      <c r="L178" s="1" t="s">
        <v>56</v>
      </c>
      <c r="M178" s="1" t="s">
        <v>54</v>
      </c>
      <c r="N178" s="1" t="s">
        <v>390</v>
      </c>
      <c r="O178" s="1" t="s">
        <v>390</v>
      </c>
      <c r="P178" s="1" t="s">
        <v>396</v>
      </c>
      <c r="Q178">
        <v>0.96174099999999996</v>
      </c>
      <c r="R178">
        <v>0.84562199999999998</v>
      </c>
      <c r="S178" s="16">
        <v>11.382061999999999</v>
      </c>
      <c r="T178" s="15">
        <v>1964819649</v>
      </c>
      <c r="U178" s="13">
        <f t="shared" si="6"/>
        <v>0.71573261499540031</v>
      </c>
    </row>
    <row r="179" spans="1:21" x14ac:dyDescent="0.2">
      <c r="A179" s="12" t="s">
        <v>325</v>
      </c>
      <c r="B179" s="1" t="s">
        <v>55</v>
      </c>
      <c r="C179" s="1" t="s">
        <v>349</v>
      </c>
      <c r="D179" s="1" t="s">
        <v>30</v>
      </c>
      <c r="E179" s="1" t="s">
        <v>105</v>
      </c>
      <c r="F179" s="1" t="s">
        <v>53</v>
      </c>
      <c r="G179" s="2">
        <v>44434</v>
      </c>
      <c r="H179" s="9">
        <v>0.9</v>
      </c>
      <c r="I179" s="2">
        <v>39783</v>
      </c>
      <c r="J179" s="2" t="s">
        <v>55</v>
      </c>
      <c r="K179" s="1">
        <v>12.7</v>
      </c>
      <c r="L179" s="1" t="s">
        <v>56</v>
      </c>
      <c r="M179" s="1" t="s">
        <v>54</v>
      </c>
      <c r="N179" s="1" t="s">
        <v>391</v>
      </c>
      <c r="O179" s="1" t="s">
        <v>390</v>
      </c>
      <c r="P179" s="1" t="s">
        <v>396</v>
      </c>
      <c r="Q179">
        <v>0.96631800000000001</v>
      </c>
      <c r="R179">
        <v>0.88171999999999995</v>
      </c>
      <c r="S179" s="16">
        <v>13.894129</v>
      </c>
      <c r="T179" s="15">
        <v>2157910274</v>
      </c>
      <c r="U179" s="13">
        <f t="shared" si="6"/>
        <v>0.78607049971305576</v>
      </c>
    </row>
    <row r="180" spans="1:21" x14ac:dyDescent="0.2">
      <c r="A180" s="12" t="s">
        <v>326</v>
      </c>
      <c r="B180" s="1" t="s">
        <v>55</v>
      </c>
      <c r="C180" s="1" t="s">
        <v>349</v>
      </c>
      <c r="D180" s="1" t="s">
        <v>30</v>
      </c>
      <c r="E180" s="1" t="s">
        <v>105</v>
      </c>
      <c r="F180" s="1" t="s">
        <v>53</v>
      </c>
      <c r="G180" s="2">
        <v>44434</v>
      </c>
      <c r="H180" s="9">
        <v>0.9</v>
      </c>
      <c r="I180" s="2">
        <v>39783</v>
      </c>
      <c r="J180" s="2" t="s">
        <v>55</v>
      </c>
      <c r="K180" s="1">
        <v>12.7</v>
      </c>
      <c r="L180" s="1" t="s">
        <v>56</v>
      </c>
      <c r="M180" s="1" t="s">
        <v>54</v>
      </c>
      <c r="N180" s="1" t="s">
        <v>391</v>
      </c>
      <c r="O180" s="1" t="s">
        <v>391</v>
      </c>
      <c r="P180" s="1" t="s">
        <v>396</v>
      </c>
      <c r="Q180">
        <v>0.95949099999999998</v>
      </c>
      <c r="R180">
        <v>0.83588600000000002</v>
      </c>
      <c r="S180" s="16">
        <v>10.94195</v>
      </c>
      <c r="T180" s="15">
        <v>1934278935</v>
      </c>
      <c r="U180" s="13">
        <f t="shared" si="6"/>
        <v>0.70460742846432511</v>
      </c>
    </row>
    <row r="181" spans="1:21" x14ac:dyDescent="0.2">
      <c r="A181" s="12" t="s">
        <v>327</v>
      </c>
      <c r="B181" s="1" t="s">
        <v>55</v>
      </c>
      <c r="C181" s="1" t="s">
        <v>349</v>
      </c>
      <c r="D181" s="1" t="s">
        <v>30</v>
      </c>
      <c r="E181" s="1" t="s">
        <v>105</v>
      </c>
      <c r="F181" s="1" t="s">
        <v>53</v>
      </c>
      <c r="G181" s="2">
        <v>44434</v>
      </c>
      <c r="H181" s="9">
        <v>0.9</v>
      </c>
      <c r="I181" s="2">
        <v>39783</v>
      </c>
      <c r="J181" s="2" t="s">
        <v>55</v>
      </c>
      <c r="K181" s="1">
        <v>12.7</v>
      </c>
      <c r="L181" s="1" t="s">
        <v>56</v>
      </c>
      <c r="M181" s="1" t="s">
        <v>54</v>
      </c>
      <c r="N181" s="1" t="s">
        <v>390</v>
      </c>
      <c r="O181" s="1" t="s">
        <v>390</v>
      </c>
      <c r="P181" s="1" t="s">
        <v>396</v>
      </c>
      <c r="Q181">
        <v>0.95469000000000004</v>
      </c>
      <c r="R181">
        <v>0.79895499999999997</v>
      </c>
      <c r="S181" s="16">
        <v>10.254320999999999</v>
      </c>
      <c r="T181" s="15">
        <v>1759575711</v>
      </c>
      <c r="U181" s="13">
        <f t="shared" si="6"/>
        <v>0.64096759494307198</v>
      </c>
    </row>
    <row r="182" spans="1:21" x14ac:dyDescent="0.2">
      <c r="A182" s="12" t="s">
        <v>328</v>
      </c>
      <c r="B182" s="1" t="s">
        <v>55</v>
      </c>
      <c r="C182" s="1" t="s">
        <v>349</v>
      </c>
      <c r="D182" s="1" t="s">
        <v>30</v>
      </c>
      <c r="E182" s="1" t="s">
        <v>105</v>
      </c>
      <c r="F182" s="1" t="s">
        <v>53</v>
      </c>
      <c r="G182" s="2">
        <v>44434</v>
      </c>
      <c r="H182" s="9">
        <v>0.9</v>
      </c>
      <c r="I182" s="2">
        <v>39783</v>
      </c>
      <c r="J182" s="2" t="s">
        <v>55</v>
      </c>
      <c r="K182" s="1">
        <v>12.7</v>
      </c>
      <c r="L182" s="1" t="s">
        <v>56</v>
      </c>
      <c r="M182" s="1" t="s">
        <v>54</v>
      </c>
      <c r="N182" s="1" t="s">
        <v>391</v>
      </c>
      <c r="O182" s="1" t="s">
        <v>390</v>
      </c>
      <c r="P182" s="1" t="s">
        <v>396</v>
      </c>
      <c r="Q182">
        <v>0.96448</v>
      </c>
      <c r="R182">
        <v>0.81957500000000005</v>
      </c>
      <c r="S182" s="16">
        <v>10.336747000000001</v>
      </c>
      <c r="T182" s="15">
        <v>1795896742</v>
      </c>
      <c r="U182" s="13">
        <f t="shared" si="6"/>
        <v>0.65419840038121468</v>
      </c>
    </row>
    <row r="183" spans="1:21" x14ac:dyDescent="0.2">
      <c r="A183" s="12" t="s">
        <v>329</v>
      </c>
      <c r="B183" s="1" t="s">
        <v>55</v>
      </c>
      <c r="C183" s="1" t="s">
        <v>349</v>
      </c>
      <c r="D183" s="1" t="s">
        <v>30</v>
      </c>
      <c r="E183" s="1" t="s">
        <v>105</v>
      </c>
      <c r="F183" s="1" t="s">
        <v>53</v>
      </c>
      <c r="G183" s="2">
        <v>44434</v>
      </c>
      <c r="H183" s="9">
        <v>0.9</v>
      </c>
      <c r="I183" s="2">
        <v>39783</v>
      </c>
      <c r="J183" s="2" t="s">
        <v>55</v>
      </c>
      <c r="K183" s="1">
        <v>12.7</v>
      </c>
      <c r="L183" s="1" t="s">
        <v>56</v>
      </c>
      <c r="M183" s="1" t="s">
        <v>54</v>
      </c>
      <c r="N183" s="1" t="s">
        <v>390</v>
      </c>
      <c r="O183" s="1" t="s">
        <v>390</v>
      </c>
      <c r="P183" s="1" t="s">
        <v>396</v>
      </c>
      <c r="Q183">
        <v>0.96337200000000001</v>
      </c>
      <c r="R183">
        <v>0.84108099999999997</v>
      </c>
      <c r="S183" s="16">
        <v>10.801337</v>
      </c>
      <c r="T183" s="15">
        <v>1926853236</v>
      </c>
      <c r="U183" s="13">
        <f t="shared" si="6"/>
        <v>0.70190243975650979</v>
      </c>
    </row>
    <row r="184" spans="1:21" x14ac:dyDescent="0.2">
      <c r="A184" s="12" t="s">
        <v>330</v>
      </c>
      <c r="B184" s="1" t="s">
        <v>55</v>
      </c>
      <c r="C184" s="1" t="s">
        <v>349</v>
      </c>
      <c r="D184" s="1" t="s">
        <v>30</v>
      </c>
      <c r="E184" s="1" t="s">
        <v>105</v>
      </c>
      <c r="F184" s="1" t="s">
        <v>32</v>
      </c>
      <c r="G184" s="2">
        <v>44435</v>
      </c>
      <c r="H184" s="9">
        <v>0</v>
      </c>
      <c r="I184" s="2">
        <v>39783</v>
      </c>
      <c r="J184" s="2" t="s">
        <v>55</v>
      </c>
      <c r="K184" s="1">
        <v>12.7</v>
      </c>
      <c r="L184" s="1" t="s">
        <v>56</v>
      </c>
      <c r="M184" s="1" t="s">
        <v>54</v>
      </c>
      <c r="N184" s="1" t="s">
        <v>390</v>
      </c>
      <c r="O184" s="1" t="s">
        <v>390</v>
      </c>
      <c r="P184" s="1" t="s">
        <v>395</v>
      </c>
      <c r="Q184">
        <v>0.96638299999999999</v>
      </c>
      <c r="R184">
        <v>0.86635399999999996</v>
      </c>
      <c r="S184" s="16">
        <v>11.869513</v>
      </c>
      <c r="T184" s="15">
        <v>2038585009</v>
      </c>
      <c r="U184" s="13">
        <f t="shared" si="6"/>
        <v>0.74260341407141117</v>
      </c>
    </row>
    <row r="185" spans="1:21" x14ac:dyDescent="0.2">
      <c r="A185" s="12" t="s">
        <v>331</v>
      </c>
      <c r="B185" s="1" t="s">
        <v>55</v>
      </c>
      <c r="C185" s="1" t="s">
        <v>349</v>
      </c>
      <c r="D185" s="1" t="s">
        <v>30</v>
      </c>
      <c r="E185" s="1" t="s">
        <v>105</v>
      </c>
      <c r="F185" s="1" t="s">
        <v>32</v>
      </c>
      <c r="G185" s="2">
        <v>44435</v>
      </c>
      <c r="H185" s="9">
        <v>0</v>
      </c>
      <c r="I185" s="2">
        <v>39783</v>
      </c>
      <c r="J185" s="2" t="s">
        <v>55</v>
      </c>
      <c r="K185" s="1">
        <v>12.7</v>
      </c>
      <c r="L185" s="1" t="s">
        <v>56</v>
      </c>
      <c r="M185" s="1" t="s">
        <v>54</v>
      </c>
      <c r="N185" s="1" t="s">
        <v>392</v>
      </c>
      <c r="O185" s="1" t="s">
        <v>392</v>
      </c>
      <c r="P185" s="1" t="s">
        <v>395</v>
      </c>
      <c r="Q185">
        <v>0.89978800000000003</v>
      </c>
      <c r="R185">
        <v>0.73432399999999998</v>
      </c>
      <c r="S185" s="16">
        <v>12.290544000000001</v>
      </c>
      <c r="T185" s="15">
        <v>1709593969</v>
      </c>
      <c r="U185" s="13">
        <f t="shared" si="6"/>
        <v>0.62276054834625449</v>
      </c>
    </row>
    <row r="186" spans="1:21" x14ac:dyDescent="0.2">
      <c r="A186" s="12" t="s">
        <v>332</v>
      </c>
      <c r="B186" s="1" t="s">
        <v>55</v>
      </c>
      <c r="C186" s="1" t="s">
        <v>349</v>
      </c>
      <c r="D186" s="1" t="s">
        <v>30</v>
      </c>
      <c r="E186" s="1" t="s">
        <v>105</v>
      </c>
      <c r="F186" s="1" t="s">
        <v>32</v>
      </c>
      <c r="G186" s="2">
        <v>44435</v>
      </c>
      <c r="H186" s="9">
        <v>0</v>
      </c>
      <c r="I186" s="2">
        <v>39783</v>
      </c>
      <c r="J186" s="2" t="s">
        <v>55</v>
      </c>
      <c r="K186" s="1">
        <v>12.7</v>
      </c>
      <c r="L186" s="1" t="s">
        <v>56</v>
      </c>
      <c r="M186" s="1" t="s">
        <v>54</v>
      </c>
      <c r="N186" s="1" t="s">
        <v>390</v>
      </c>
      <c r="O186" s="1" t="s">
        <v>390</v>
      </c>
      <c r="P186" s="1" t="s">
        <v>395</v>
      </c>
      <c r="Q186">
        <v>0.96486799999999995</v>
      </c>
      <c r="R186">
        <v>0.84426699999999999</v>
      </c>
      <c r="S186" s="16">
        <v>10.437125</v>
      </c>
      <c r="T186" s="15">
        <v>1915595974</v>
      </c>
      <c r="U186" s="13">
        <f t="shared" si="6"/>
        <v>0.69780171245919831</v>
      </c>
    </row>
    <row r="187" spans="1:21" x14ac:dyDescent="0.2">
      <c r="A187" s="12" t="s">
        <v>333</v>
      </c>
      <c r="B187" s="1" t="s">
        <v>55</v>
      </c>
      <c r="C187" s="1" t="s">
        <v>349</v>
      </c>
      <c r="D187" s="1" t="s">
        <v>30</v>
      </c>
      <c r="E187" s="1" t="s">
        <v>105</v>
      </c>
      <c r="F187" s="1" t="s">
        <v>32</v>
      </c>
      <c r="G187" s="2">
        <v>44435</v>
      </c>
      <c r="H187" s="9">
        <v>0</v>
      </c>
      <c r="I187" s="2">
        <v>39783</v>
      </c>
      <c r="J187" s="2" t="s">
        <v>55</v>
      </c>
      <c r="K187" s="1">
        <v>12.7</v>
      </c>
      <c r="L187" s="1" t="s">
        <v>56</v>
      </c>
      <c r="M187" s="1" t="s">
        <v>54</v>
      </c>
      <c r="N187" s="1" t="s">
        <v>391</v>
      </c>
      <c r="O187" s="1" t="s">
        <v>391</v>
      </c>
      <c r="P187" s="1" t="s">
        <v>395</v>
      </c>
      <c r="Q187">
        <v>0.93944000000000005</v>
      </c>
      <c r="R187">
        <v>0.78496500000000002</v>
      </c>
      <c r="S187" s="16">
        <v>9.7389639999999993</v>
      </c>
      <c r="T187" s="15">
        <v>1735069600</v>
      </c>
      <c r="U187" s="13">
        <f t="shared" si="6"/>
        <v>0.63204065708476798</v>
      </c>
    </row>
    <row r="188" spans="1:21" x14ac:dyDescent="0.2">
      <c r="A188" s="12" t="s">
        <v>334</v>
      </c>
      <c r="B188" s="1" t="s">
        <v>55</v>
      </c>
      <c r="C188" s="1" t="s">
        <v>349</v>
      </c>
      <c r="D188" s="1" t="s">
        <v>30</v>
      </c>
      <c r="E188" s="1" t="s">
        <v>105</v>
      </c>
      <c r="F188" s="1" t="s">
        <v>32</v>
      </c>
      <c r="G188" s="2">
        <v>44435</v>
      </c>
      <c r="H188" s="9">
        <v>0</v>
      </c>
      <c r="I188" s="2">
        <v>39783</v>
      </c>
      <c r="J188" s="2" t="s">
        <v>55</v>
      </c>
      <c r="K188" s="1">
        <v>12.7</v>
      </c>
      <c r="L188" s="1" t="s">
        <v>56</v>
      </c>
      <c r="M188" s="1" t="s">
        <v>54</v>
      </c>
      <c r="N188" s="1" t="s">
        <v>390</v>
      </c>
      <c r="O188" s="1" t="s">
        <v>390</v>
      </c>
      <c r="P188" s="1" t="s">
        <v>395</v>
      </c>
      <c r="Q188">
        <v>0.96323700000000001</v>
      </c>
      <c r="R188">
        <v>0.82667299999999999</v>
      </c>
      <c r="S188" s="16">
        <v>10.100908</v>
      </c>
      <c r="T188" s="15">
        <v>1850090946</v>
      </c>
      <c r="U188" s="13">
        <f t="shared" si="6"/>
        <v>0.67393993715089007</v>
      </c>
    </row>
    <row r="189" spans="1:21" x14ac:dyDescent="0.2">
      <c r="A189" s="12" t="s">
        <v>335</v>
      </c>
      <c r="B189" s="1" t="s">
        <v>55</v>
      </c>
      <c r="C189" s="1" t="s">
        <v>349</v>
      </c>
      <c r="D189" s="1" t="s">
        <v>30</v>
      </c>
      <c r="E189" s="1" t="s">
        <v>105</v>
      </c>
      <c r="F189" s="1" t="s">
        <v>32</v>
      </c>
      <c r="G189" s="2">
        <v>44435</v>
      </c>
      <c r="H189" s="9">
        <v>0</v>
      </c>
      <c r="I189" s="2">
        <v>39783</v>
      </c>
      <c r="J189" s="2" t="s">
        <v>55</v>
      </c>
      <c r="K189" s="1">
        <v>12.7</v>
      </c>
      <c r="L189" s="1" t="s">
        <v>56</v>
      </c>
      <c r="M189" s="1" t="s">
        <v>54</v>
      </c>
      <c r="N189" s="1" t="s">
        <v>391</v>
      </c>
      <c r="O189" s="1" t="s">
        <v>391</v>
      </c>
      <c r="P189" s="1" t="s">
        <v>395</v>
      </c>
      <c r="Q189">
        <v>0.95515499999999998</v>
      </c>
      <c r="R189">
        <v>0.79883000000000004</v>
      </c>
      <c r="S189" s="16">
        <v>9.3050510000000006</v>
      </c>
      <c r="T189" s="15">
        <v>1721064957</v>
      </c>
      <c r="U189" s="13">
        <f t="shared" si="6"/>
        <v>0.6269391304578491</v>
      </c>
    </row>
    <row r="190" spans="1:21" x14ac:dyDescent="0.2">
      <c r="A190" s="12" t="s">
        <v>336</v>
      </c>
      <c r="B190" s="1" t="s">
        <v>55</v>
      </c>
      <c r="C190" s="1" t="s">
        <v>349</v>
      </c>
      <c r="D190" s="1" t="s">
        <v>30</v>
      </c>
      <c r="E190" s="1" t="s">
        <v>105</v>
      </c>
      <c r="F190" s="1" t="s">
        <v>32</v>
      </c>
      <c r="G190" s="2">
        <v>44435</v>
      </c>
      <c r="H190" s="9">
        <v>0</v>
      </c>
      <c r="I190" s="2">
        <v>39783</v>
      </c>
      <c r="J190" s="2" t="s">
        <v>55</v>
      </c>
      <c r="K190" s="1">
        <v>12.7</v>
      </c>
      <c r="L190" s="1" t="s">
        <v>56</v>
      </c>
      <c r="M190" s="1" t="s">
        <v>54</v>
      </c>
      <c r="N190" s="1" t="s">
        <v>391</v>
      </c>
      <c r="O190" s="1" t="s">
        <v>391</v>
      </c>
      <c r="P190" s="1" t="s">
        <v>395</v>
      </c>
      <c r="Q190">
        <v>0.96240300000000001</v>
      </c>
      <c r="R190">
        <v>0.85431699999999999</v>
      </c>
      <c r="S190" s="16">
        <v>11.561199</v>
      </c>
      <c r="T190" s="15">
        <v>2000296146</v>
      </c>
      <c r="U190" s="13">
        <f t="shared" si="6"/>
        <v>0.72865577869727471</v>
      </c>
    </row>
    <row r="191" spans="1:21" x14ac:dyDescent="0.2">
      <c r="A191" s="12" t="s">
        <v>337</v>
      </c>
      <c r="B191" s="1" t="s">
        <v>55</v>
      </c>
      <c r="C191" s="1" t="s">
        <v>349</v>
      </c>
      <c r="D191" s="1" t="s">
        <v>30</v>
      </c>
      <c r="E191" s="1" t="s">
        <v>105</v>
      </c>
      <c r="F191" s="1" t="s">
        <v>32</v>
      </c>
      <c r="G191" s="2">
        <v>44435</v>
      </c>
      <c r="H191" s="9">
        <v>0</v>
      </c>
      <c r="I191" s="2">
        <v>39783</v>
      </c>
      <c r="J191" s="2" t="s">
        <v>55</v>
      </c>
      <c r="K191" s="1">
        <v>12.7</v>
      </c>
      <c r="L191" s="1" t="s">
        <v>56</v>
      </c>
      <c r="M191" s="1" t="s">
        <v>54</v>
      </c>
      <c r="N191" s="1" t="s">
        <v>391</v>
      </c>
      <c r="O191" s="1" t="s">
        <v>391</v>
      </c>
      <c r="P191" s="1" t="s">
        <v>395</v>
      </c>
      <c r="Q191">
        <v>0.95640099999999995</v>
      </c>
      <c r="R191">
        <v>0.80146499999999998</v>
      </c>
      <c r="S191" s="16">
        <v>9.9298169999999999</v>
      </c>
      <c r="T191" s="15">
        <v>1763552485</v>
      </c>
      <c r="U191" s="13">
        <f t="shared" si="6"/>
        <v>0.64241623011715232</v>
      </c>
    </row>
    <row r="192" spans="1:21" x14ac:dyDescent="0.2">
      <c r="A192" s="12" t="s">
        <v>338</v>
      </c>
      <c r="B192" s="1" t="s">
        <v>55</v>
      </c>
      <c r="C192" s="1" t="s">
        <v>349</v>
      </c>
      <c r="D192" s="1" t="s">
        <v>30</v>
      </c>
      <c r="E192" s="1" t="s">
        <v>105</v>
      </c>
      <c r="F192" s="1" t="s">
        <v>32</v>
      </c>
      <c r="G192" s="2">
        <v>44435</v>
      </c>
      <c r="H192" s="9">
        <v>0</v>
      </c>
      <c r="I192" s="2">
        <v>39783</v>
      </c>
      <c r="J192" s="2" t="s">
        <v>55</v>
      </c>
      <c r="K192" s="1">
        <v>12.7</v>
      </c>
      <c r="L192" s="1" t="s">
        <v>56</v>
      </c>
      <c r="M192" s="1" t="s">
        <v>54</v>
      </c>
      <c r="N192" s="1" t="s">
        <v>392</v>
      </c>
      <c r="O192" s="1" t="s">
        <v>392</v>
      </c>
      <c r="P192" s="1" t="s">
        <v>395</v>
      </c>
      <c r="Q192">
        <v>0.92985300000000004</v>
      </c>
      <c r="R192">
        <v>0.804975</v>
      </c>
      <c r="S192" s="16">
        <v>11.627580999999999</v>
      </c>
      <c r="T192" s="15">
        <v>1872361944</v>
      </c>
      <c r="U192" s="13">
        <f t="shared" si="6"/>
        <v>0.68205268156751386</v>
      </c>
    </row>
    <row r="193" spans="1:21" x14ac:dyDescent="0.2">
      <c r="A193" s="12" t="s">
        <v>339</v>
      </c>
      <c r="B193" s="1" t="s">
        <v>55</v>
      </c>
      <c r="C193" s="1" t="s">
        <v>349</v>
      </c>
      <c r="D193" s="1" t="s">
        <v>30</v>
      </c>
      <c r="E193" s="1" t="s">
        <v>105</v>
      </c>
      <c r="F193" s="1" t="s">
        <v>32</v>
      </c>
      <c r="G193" s="2">
        <v>44435</v>
      </c>
      <c r="H193" s="9">
        <v>0</v>
      </c>
      <c r="I193" s="2">
        <v>39783</v>
      </c>
      <c r="J193" s="2" t="s">
        <v>55</v>
      </c>
      <c r="K193" s="1">
        <v>12.7</v>
      </c>
      <c r="L193" s="1" t="s">
        <v>56</v>
      </c>
      <c r="M193" s="1" t="s">
        <v>54</v>
      </c>
      <c r="N193" s="1" t="s">
        <v>392</v>
      </c>
      <c r="O193" s="1" t="s">
        <v>392</v>
      </c>
      <c r="P193" s="1" t="s">
        <v>395</v>
      </c>
      <c r="Q193">
        <v>0.76242200000000004</v>
      </c>
      <c r="R193">
        <v>0.67377299999999996</v>
      </c>
      <c r="S193" s="16">
        <v>11.973725999999999</v>
      </c>
      <c r="T193" s="15">
        <v>1634130226</v>
      </c>
      <c r="U193" s="13">
        <f t="shared" si="6"/>
        <v>0.59527107258586076</v>
      </c>
    </row>
    <row r="194" spans="1:21" x14ac:dyDescent="0.2">
      <c r="A194" s="12" t="s">
        <v>340</v>
      </c>
      <c r="B194" s="1" t="s">
        <v>55</v>
      </c>
      <c r="C194" s="1" t="s">
        <v>349</v>
      </c>
      <c r="D194" s="1" t="s">
        <v>30</v>
      </c>
      <c r="E194" s="1" t="s">
        <v>105</v>
      </c>
      <c r="F194" s="1" t="s">
        <v>32</v>
      </c>
      <c r="G194" s="2">
        <v>44435</v>
      </c>
      <c r="H194" s="9">
        <v>0</v>
      </c>
      <c r="I194" s="2">
        <v>39783</v>
      </c>
      <c r="J194" s="2" t="s">
        <v>55</v>
      </c>
      <c r="K194" s="1">
        <v>12.7</v>
      </c>
      <c r="L194" s="1" t="s">
        <v>56</v>
      </c>
      <c r="M194" s="1" t="s">
        <v>54</v>
      </c>
      <c r="N194" s="1" t="s">
        <v>390</v>
      </c>
      <c r="O194" s="1" t="s">
        <v>390</v>
      </c>
      <c r="P194" s="1" t="s">
        <v>395</v>
      </c>
      <c r="Q194">
        <v>0.96296000000000004</v>
      </c>
      <c r="R194">
        <v>0.85140899999999997</v>
      </c>
      <c r="S194" s="16">
        <v>11.015794</v>
      </c>
      <c r="T194" s="15">
        <v>1966130659</v>
      </c>
      <c r="U194" s="13">
        <f t="shared" si="6"/>
        <v>0.71621018178686779</v>
      </c>
    </row>
    <row r="195" spans="1:21" x14ac:dyDescent="0.2">
      <c r="A195" s="12" t="s">
        <v>341</v>
      </c>
      <c r="B195" s="1" t="s">
        <v>55</v>
      </c>
      <c r="C195" s="1" t="s">
        <v>349</v>
      </c>
      <c r="D195" s="1" t="s">
        <v>30</v>
      </c>
      <c r="E195" s="1" t="s">
        <v>105</v>
      </c>
      <c r="F195" s="1" t="s">
        <v>32</v>
      </c>
      <c r="G195" s="2">
        <v>44435</v>
      </c>
      <c r="H195" s="9">
        <v>0</v>
      </c>
      <c r="I195" s="2">
        <v>39783</v>
      </c>
      <c r="J195" s="2" t="s">
        <v>55</v>
      </c>
      <c r="K195" s="1">
        <v>12.7</v>
      </c>
      <c r="L195" s="1" t="s">
        <v>56</v>
      </c>
      <c r="M195" s="1" t="s">
        <v>54</v>
      </c>
      <c r="N195" s="1" t="s">
        <v>391</v>
      </c>
      <c r="O195" s="1" t="s">
        <v>391</v>
      </c>
      <c r="P195" s="1" t="s">
        <v>395</v>
      </c>
      <c r="Q195">
        <v>0.96134200000000003</v>
      </c>
      <c r="R195">
        <v>0.84953500000000004</v>
      </c>
      <c r="S195" s="16">
        <v>11.288479000000001</v>
      </c>
      <c r="T195" s="15">
        <v>1972066067</v>
      </c>
      <c r="U195" s="13">
        <f t="shared" si="6"/>
        <v>0.71837229630514776</v>
      </c>
    </row>
    <row r="196" spans="1:21" x14ac:dyDescent="0.2">
      <c r="A196" s="12" t="s">
        <v>342</v>
      </c>
      <c r="B196" s="1" t="s">
        <v>55</v>
      </c>
      <c r="C196" s="1" t="s">
        <v>349</v>
      </c>
      <c r="D196" s="1" t="s">
        <v>30</v>
      </c>
      <c r="E196" s="1" t="s">
        <v>105</v>
      </c>
      <c r="F196" s="1" t="s">
        <v>32</v>
      </c>
      <c r="G196" s="2">
        <v>44435</v>
      </c>
      <c r="H196" s="9">
        <v>0</v>
      </c>
      <c r="I196" s="2">
        <v>39783</v>
      </c>
      <c r="J196" s="2" t="s">
        <v>55</v>
      </c>
      <c r="K196" s="1">
        <v>12.7</v>
      </c>
      <c r="L196" s="1" t="s">
        <v>56</v>
      </c>
      <c r="M196" s="1" t="s">
        <v>54</v>
      </c>
      <c r="N196" s="1" t="s">
        <v>392</v>
      </c>
      <c r="O196" s="1" t="s">
        <v>392</v>
      </c>
      <c r="P196" s="1" t="s">
        <v>395</v>
      </c>
      <c r="Q196">
        <v>0.83716500000000005</v>
      </c>
      <c r="R196">
        <v>0.71153999999999995</v>
      </c>
      <c r="S196" s="16">
        <v>11.058564000000001</v>
      </c>
      <c r="T196" s="15">
        <v>1666333496</v>
      </c>
      <c r="U196" s="13">
        <f t="shared" si="6"/>
        <v>0.6070018849585046</v>
      </c>
    </row>
    <row r="197" spans="1:21" x14ac:dyDescent="0.2">
      <c r="A197" s="12" t="s">
        <v>343</v>
      </c>
      <c r="B197" s="1" t="s">
        <v>55</v>
      </c>
      <c r="C197" s="1" t="s">
        <v>349</v>
      </c>
      <c r="D197" s="1" t="s">
        <v>30</v>
      </c>
      <c r="E197" s="1" t="s">
        <v>105</v>
      </c>
      <c r="F197" s="1" t="s">
        <v>32</v>
      </c>
      <c r="G197" s="2">
        <v>44435</v>
      </c>
      <c r="H197" s="9">
        <v>0</v>
      </c>
      <c r="I197" s="2">
        <v>39783</v>
      </c>
      <c r="J197" s="2" t="s">
        <v>55</v>
      </c>
      <c r="K197" s="1">
        <v>12.7</v>
      </c>
      <c r="L197" s="1" t="s">
        <v>56</v>
      </c>
      <c r="M197" s="1" t="s">
        <v>54</v>
      </c>
      <c r="N197" s="1" t="s">
        <v>391</v>
      </c>
      <c r="O197" s="1" t="s">
        <v>391</v>
      </c>
      <c r="P197" s="1" t="s">
        <v>395</v>
      </c>
      <c r="Q197">
        <v>0.96279700000000001</v>
      </c>
      <c r="R197">
        <v>0.84465500000000004</v>
      </c>
      <c r="S197" s="16">
        <v>11.015458000000001</v>
      </c>
      <c r="T197" s="15">
        <v>1946424564</v>
      </c>
      <c r="U197" s="13">
        <f t="shared" si="6"/>
        <v>0.7090317647179647</v>
      </c>
    </row>
    <row r="198" spans="1:21" x14ac:dyDescent="0.2">
      <c r="A198" s="12" t="s">
        <v>344</v>
      </c>
      <c r="B198" s="1" t="s">
        <v>55</v>
      </c>
      <c r="C198" s="1" t="s">
        <v>349</v>
      </c>
      <c r="D198" s="1" t="s">
        <v>30</v>
      </c>
      <c r="E198" s="1" t="s">
        <v>105</v>
      </c>
      <c r="F198" s="1" t="s">
        <v>32</v>
      </c>
      <c r="G198" s="2">
        <v>44435</v>
      </c>
      <c r="H198" s="9">
        <v>0</v>
      </c>
      <c r="I198" s="2">
        <v>39783</v>
      </c>
      <c r="J198" s="2" t="s">
        <v>55</v>
      </c>
      <c r="K198" s="1">
        <v>12.7</v>
      </c>
      <c r="L198" s="1" t="s">
        <v>56</v>
      </c>
      <c r="M198" s="1" t="s">
        <v>54</v>
      </c>
      <c r="N198" s="1" t="s">
        <v>391</v>
      </c>
      <c r="O198" s="1" t="s">
        <v>391</v>
      </c>
      <c r="P198" s="1" t="s">
        <v>395</v>
      </c>
      <c r="Q198">
        <v>0.96131500000000003</v>
      </c>
      <c r="R198">
        <v>0.84735300000000002</v>
      </c>
      <c r="S198" s="16">
        <v>11.116697</v>
      </c>
      <c r="T198" s="15">
        <v>1970247632</v>
      </c>
      <c r="U198" s="13">
        <f t="shared" si="6"/>
        <v>0.71770988780449396</v>
      </c>
    </row>
    <row r="199" spans="1:21" x14ac:dyDescent="0.2">
      <c r="A199" s="12" t="s">
        <v>345</v>
      </c>
      <c r="B199" s="1" t="s">
        <v>55</v>
      </c>
      <c r="C199" s="1" t="s">
        <v>349</v>
      </c>
      <c r="D199" s="1" t="s">
        <v>30</v>
      </c>
      <c r="E199" s="1" t="s">
        <v>105</v>
      </c>
      <c r="F199" s="1" t="s">
        <v>53</v>
      </c>
      <c r="G199" s="2">
        <v>44434</v>
      </c>
      <c r="H199" s="9">
        <v>0.9</v>
      </c>
      <c r="I199" s="2">
        <v>39783</v>
      </c>
      <c r="J199" s="2" t="s">
        <v>55</v>
      </c>
      <c r="K199" s="1">
        <v>12.7</v>
      </c>
      <c r="L199" s="1" t="s">
        <v>56</v>
      </c>
      <c r="M199" s="1" t="s">
        <v>386</v>
      </c>
      <c r="N199" s="1" t="s">
        <v>55</v>
      </c>
      <c r="O199" s="1" t="s">
        <v>55</v>
      </c>
      <c r="P199" s="1" t="s">
        <v>396</v>
      </c>
      <c r="Q199" s="12" t="s">
        <v>55</v>
      </c>
      <c r="R199" s="12" t="s">
        <v>55</v>
      </c>
      <c r="S199" s="17" t="s">
        <v>55</v>
      </c>
      <c r="T199" s="14" t="s">
        <v>55</v>
      </c>
      <c r="U199" s="13" t="e">
        <f t="shared" si="6"/>
        <v>#VALUE!</v>
      </c>
    </row>
    <row r="200" spans="1:21" x14ac:dyDescent="0.2">
      <c r="A200" s="12" t="s">
        <v>346</v>
      </c>
      <c r="B200" s="1" t="s">
        <v>55</v>
      </c>
      <c r="C200" s="1" t="s">
        <v>349</v>
      </c>
      <c r="D200" s="1" t="s">
        <v>30</v>
      </c>
      <c r="E200" s="1" t="s">
        <v>105</v>
      </c>
      <c r="F200" s="1" t="s">
        <v>32</v>
      </c>
      <c r="G200" s="2">
        <v>44435</v>
      </c>
      <c r="H200" s="9">
        <v>0</v>
      </c>
      <c r="I200" s="2">
        <v>39783</v>
      </c>
      <c r="J200" s="2" t="s">
        <v>55</v>
      </c>
      <c r="K200" s="1">
        <v>12.7</v>
      </c>
      <c r="L200" s="1" t="s">
        <v>56</v>
      </c>
      <c r="M200" s="1" t="s">
        <v>387</v>
      </c>
      <c r="N200" s="1" t="s">
        <v>55</v>
      </c>
      <c r="O200" s="1" t="s">
        <v>55</v>
      </c>
      <c r="P200" s="1" t="s">
        <v>395</v>
      </c>
      <c r="Q200">
        <v>0.97426400000000002</v>
      </c>
      <c r="R200">
        <v>0.96698399999999995</v>
      </c>
      <c r="S200" s="16">
        <v>21.546253</v>
      </c>
      <c r="T200" s="15">
        <v>2619459163</v>
      </c>
      <c r="U200" s="13">
        <f t="shared" si="6"/>
        <v>0.95420073672504924</v>
      </c>
    </row>
    <row r="201" spans="1:21" x14ac:dyDescent="0.2">
      <c r="A201" s="7" t="s">
        <v>38</v>
      </c>
      <c r="B201" s="1" t="s">
        <v>52</v>
      </c>
      <c r="C201" s="1" t="s">
        <v>91</v>
      </c>
      <c r="D201" s="1" t="s">
        <v>30</v>
      </c>
      <c r="E201" s="1" t="s">
        <v>99</v>
      </c>
      <c r="F201" s="1" t="s">
        <v>53</v>
      </c>
      <c r="G201" s="2">
        <v>45049</v>
      </c>
      <c r="H201" s="9">
        <v>0.9</v>
      </c>
      <c r="I201" s="2">
        <v>39995</v>
      </c>
      <c r="J201" s="4" t="s">
        <v>55</v>
      </c>
      <c r="K201" s="5">
        <v>13.8</v>
      </c>
      <c r="L201" s="1" t="s">
        <v>56</v>
      </c>
      <c r="M201" s="1" t="s">
        <v>36</v>
      </c>
      <c r="N201" s="1" t="s">
        <v>391</v>
      </c>
      <c r="O201" s="1" t="s">
        <v>391</v>
      </c>
      <c r="P201" s="1" t="s">
        <v>395</v>
      </c>
      <c r="Q201">
        <v>0.95304100000000003</v>
      </c>
      <c r="R201">
        <v>0.85145400000000004</v>
      </c>
      <c r="S201" s="16">
        <v>12.337619</v>
      </c>
      <c r="T201" s="15">
        <v>2016158349</v>
      </c>
      <c r="U201" s="13">
        <f t="shared" si="6"/>
        <v>0.73443396604314948</v>
      </c>
    </row>
    <row r="202" spans="1:21" x14ac:dyDescent="0.2">
      <c r="A202" s="7" t="s">
        <v>39</v>
      </c>
      <c r="B202" s="1" t="s">
        <v>52</v>
      </c>
      <c r="C202" s="1" t="s">
        <v>91</v>
      </c>
      <c r="D202" s="1" t="s">
        <v>30</v>
      </c>
      <c r="E202" s="1" t="s">
        <v>99</v>
      </c>
      <c r="F202" s="1" t="s">
        <v>53</v>
      </c>
      <c r="G202" s="2">
        <v>45049</v>
      </c>
      <c r="H202" s="9">
        <v>0.9</v>
      </c>
      <c r="I202" s="2">
        <v>39995</v>
      </c>
      <c r="J202" s="4" t="s">
        <v>55</v>
      </c>
      <c r="K202" s="5">
        <v>13.8</v>
      </c>
      <c r="L202" s="1" t="s">
        <v>56</v>
      </c>
      <c r="M202" s="1" t="s">
        <v>36</v>
      </c>
      <c r="N202" s="1" t="s">
        <v>391</v>
      </c>
      <c r="O202" s="1" t="s">
        <v>391</v>
      </c>
      <c r="P202" s="1" t="s">
        <v>395</v>
      </c>
      <c r="Q202">
        <v>0.96397100000000002</v>
      </c>
      <c r="R202">
        <v>0.85827699999999996</v>
      </c>
      <c r="S202" s="16">
        <v>11.502370000000001</v>
      </c>
      <c r="T202" s="15">
        <v>1999813870</v>
      </c>
      <c r="U202" s="13">
        <f t="shared" si="6"/>
        <v>0.72848009811366232</v>
      </c>
    </row>
    <row r="203" spans="1:21" x14ac:dyDescent="0.2">
      <c r="A203" s="7" t="s">
        <v>40</v>
      </c>
      <c r="B203" s="1" t="s">
        <v>52</v>
      </c>
      <c r="C203" s="1" t="s">
        <v>91</v>
      </c>
      <c r="D203" s="1" t="s">
        <v>30</v>
      </c>
      <c r="E203" s="1" t="s">
        <v>99</v>
      </c>
      <c r="F203" s="1" t="s">
        <v>53</v>
      </c>
      <c r="G203" s="2">
        <v>45049</v>
      </c>
      <c r="H203" s="9">
        <v>0.9</v>
      </c>
      <c r="I203" s="2">
        <v>39995</v>
      </c>
      <c r="J203" s="4" t="s">
        <v>55</v>
      </c>
      <c r="K203" s="5">
        <v>13.8</v>
      </c>
      <c r="L203" s="1" t="s">
        <v>56</v>
      </c>
      <c r="M203" s="1" t="s">
        <v>36</v>
      </c>
      <c r="N203" s="1" t="s">
        <v>391</v>
      </c>
      <c r="O203" s="1" t="s">
        <v>391</v>
      </c>
      <c r="P203" s="1" t="s">
        <v>395</v>
      </c>
      <c r="Q203">
        <v>0.95706100000000005</v>
      </c>
      <c r="R203">
        <v>0.85474700000000003</v>
      </c>
      <c r="S203" s="16">
        <v>12.406867999999999</v>
      </c>
      <c r="T203" s="15">
        <v>2026204717</v>
      </c>
      <c r="U203" s="13">
        <f t="shared" si="6"/>
        <v>0.73809359619979298</v>
      </c>
    </row>
    <row r="204" spans="1:21" x14ac:dyDescent="0.2">
      <c r="A204" s="7" t="s">
        <v>41</v>
      </c>
      <c r="B204" s="1" t="s">
        <v>52</v>
      </c>
      <c r="C204" s="1" t="s">
        <v>91</v>
      </c>
      <c r="D204" s="1" t="s">
        <v>30</v>
      </c>
      <c r="E204" s="1" t="s">
        <v>99</v>
      </c>
      <c r="F204" s="1" t="s">
        <v>53</v>
      </c>
      <c r="G204" s="2">
        <v>45049</v>
      </c>
      <c r="H204" s="9">
        <v>0.9</v>
      </c>
      <c r="I204" s="2">
        <v>39995</v>
      </c>
      <c r="J204" s="4" t="s">
        <v>55</v>
      </c>
      <c r="K204" s="5">
        <v>13.8</v>
      </c>
      <c r="L204" s="1" t="s">
        <v>56</v>
      </c>
      <c r="M204" s="1" t="s">
        <v>36</v>
      </c>
      <c r="N204" s="1" t="s">
        <v>390</v>
      </c>
      <c r="O204" s="1" t="s">
        <v>390</v>
      </c>
      <c r="P204" s="1" t="s">
        <v>395</v>
      </c>
      <c r="Q204">
        <v>0.96917699999999996</v>
      </c>
      <c r="R204">
        <v>0.88625299999999996</v>
      </c>
      <c r="S204" s="16">
        <v>12.359461</v>
      </c>
      <c r="T204" s="15">
        <v>2113763418</v>
      </c>
      <c r="U204" s="13">
        <f>T204/2745186691</f>
        <v>0.76998895008849511</v>
      </c>
    </row>
    <row r="205" spans="1:21" x14ac:dyDescent="0.2">
      <c r="A205" s="7" t="s">
        <v>42</v>
      </c>
      <c r="B205" s="1" t="s">
        <v>52</v>
      </c>
      <c r="C205" s="1" t="s">
        <v>91</v>
      </c>
      <c r="D205" s="1" t="s">
        <v>30</v>
      </c>
      <c r="E205" s="1" t="s">
        <v>99</v>
      </c>
      <c r="F205" s="1" t="s">
        <v>53</v>
      </c>
      <c r="G205" s="2">
        <v>45049</v>
      </c>
      <c r="H205" s="9">
        <v>0.9</v>
      </c>
      <c r="I205" s="2">
        <v>39995</v>
      </c>
      <c r="J205" s="4" t="s">
        <v>55</v>
      </c>
      <c r="K205" s="5">
        <v>13.8</v>
      </c>
      <c r="L205" s="1" t="s">
        <v>56</v>
      </c>
      <c r="M205" s="1" t="s">
        <v>36</v>
      </c>
      <c r="N205" s="1" t="s">
        <v>390</v>
      </c>
      <c r="O205" s="1" t="s">
        <v>390</v>
      </c>
      <c r="P205" s="1" t="s">
        <v>395</v>
      </c>
      <c r="Q205">
        <v>0.968727</v>
      </c>
      <c r="R205">
        <v>0.88655799999999996</v>
      </c>
      <c r="S205" s="16">
        <v>12.621714000000001</v>
      </c>
      <c r="T205" s="15">
        <v>2128109523</v>
      </c>
      <c r="U205" s="13">
        <f>T205/2745186691</f>
        <v>0.77521486242700133</v>
      </c>
    </row>
    <row r="206" spans="1:21" x14ac:dyDescent="0.2">
      <c r="A206" s="1" t="s">
        <v>47</v>
      </c>
      <c r="B206" s="1" t="s">
        <v>52</v>
      </c>
      <c r="C206" s="1" t="s">
        <v>91</v>
      </c>
      <c r="D206" s="1" t="s">
        <v>30</v>
      </c>
      <c r="E206" s="1" t="s">
        <v>99</v>
      </c>
      <c r="F206" s="1" t="s">
        <v>53</v>
      </c>
      <c r="G206" s="2">
        <v>45049</v>
      </c>
      <c r="H206" s="9">
        <v>0.9</v>
      </c>
      <c r="I206" s="2">
        <v>39995</v>
      </c>
      <c r="J206" s="4" t="s">
        <v>55</v>
      </c>
      <c r="K206" s="5">
        <v>13.8</v>
      </c>
      <c r="L206" s="1" t="s">
        <v>56</v>
      </c>
      <c r="M206" s="1" t="s">
        <v>370</v>
      </c>
      <c r="N206" s="1" t="s">
        <v>390</v>
      </c>
      <c r="O206" s="1" t="s">
        <v>390</v>
      </c>
      <c r="P206" s="1" t="s">
        <v>396</v>
      </c>
      <c r="Q206">
        <v>0.96321699999999999</v>
      </c>
      <c r="R206">
        <v>0.85556100000000002</v>
      </c>
      <c r="S206" s="16">
        <v>14.008293999999999</v>
      </c>
      <c r="T206" s="15">
        <v>2070915893</v>
      </c>
      <c r="U206" s="13">
        <f t="shared" ref="U206:U237" si="7">T206/2745186691</f>
        <v>0.75438071289993736</v>
      </c>
    </row>
    <row r="207" spans="1:21" x14ac:dyDescent="0.2">
      <c r="A207" s="1" t="s">
        <v>48</v>
      </c>
      <c r="B207" s="1" t="s">
        <v>52</v>
      </c>
      <c r="C207" s="1" t="s">
        <v>91</v>
      </c>
      <c r="D207" s="1" t="s">
        <v>30</v>
      </c>
      <c r="E207" s="1" t="s">
        <v>99</v>
      </c>
      <c r="F207" s="1" t="s">
        <v>53</v>
      </c>
      <c r="G207" s="2">
        <v>45049</v>
      </c>
      <c r="H207" s="9">
        <v>0.9</v>
      </c>
      <c r="I207" s="2">
        <v>39995</v>
      </c>
      <c r="J207" s="4" t="s">
        <v>55</v>
      </c>
      <c r="K207" s="5">
        <v>13.8</v>
      </c>
      <c r="L207" s="1" t="s">
        <v>56</v>
      </c>
      <c r="M207" s="1" t="s">
        <v>370</v>
      </c>
      <c r="N207" s="1" t="s">
        <v>390</v>
      </c>
      <c r="O207" s="1" t="s">
        <v>390</v>
      </c>
      <c r="P207" s="1" t="s">
        <v>396</v>
      </c>
      <c r="Q207">
        <v>0.96456799999999998</v>
      </c>
      <c r="R207">
        <v>0.87279600000000002</v>
      </c>
      <c r="S207" s="16">
        <v>15.552626</v>
      </c>
      <c r="T207" s="15">
        <v>2157056738</v>
      </c>
      <c r="U207" s="13">
        <f t="shared" si="7"/>
        <v>0.78575957878268765</v>
      </c>
    </row>
    <row r="208" spans="1:21" x14ac:dyDescent="0.2">
      <c r="A208" s="1" t="s">
        <v>49</v>
      </c>
      <c r="B208" s="1" t="s">
        <v>52</v>
      </c>
      <c r="C208" s="1" t="s">
        <v>91</v>
      </c>
      <c r="D208" s="1" t="s">
        <v>30</v>
      </c>
      <c r="E208" s="1" t="s">
        <v>99</v>
      </c>
      <c r="F208" s="1" t="s">
        <v>53</v>
      </c>
      <c r="G208" s="2">
        <v>45049</v>
      </c>
      <c r="H208" s="9">
        <v>0.9</v>
      </c>
      <c r="I208" s="2">
        <v>39995</v>
      </c>
      <c r="J208" s="4" t="s">
        <v>55</v>
      </c>
      <c r="K208" s="5">
        <v>13.8</v>
      </c>
      <c r="L208" s="1" t="s">
        <v>56</v>
      </c>
      <c r="M208" s="1" t="s">
        <v>370</v>
      </c>
      <c r="N208" s="1" t="s">
        <v>390</v>
      </c>
      <c r="O208" s="1" t="s">
        <v>390</v>
      </c>
      <c r="P208" s="1" t="s">
        <v>396</v>
      </c>
      <c r="Q208">
        <v>0.96469099999999997</v>
      </c>
      <c r="R208">
        <v>0.86127699999999996</v>
      </c>
      <c r="S208" s="16">
        <v>13.20993</v>
      </c>
      <c r="T208" s="15">
        <v>2083836930</v>
      </c>
      <c r="U208" s="13">
        <f t="shared" si="7"/>
        <v>0.75908751008876285</v>
      </c>
    </row>
    <row r="209" spans="1:21" x14ac:dyDescent="0.2">
      <c r="A209" s="1" t="s">
        <v>43</v>
      </c>
      <c r="B209" s="1" t="s">
        <v>52</v>
      </c>
      <c r="C209" s="1" t="s">
        <v>91</v>
      </c>
      <c r="D209" s="1" t="s">
        <v>30</v>
      </c>
      <c r="E209" s="1" t="s">
        <v>99</v>
      </c>
      <c r="F209" s="1" t="s">
        <v>53</v>
      </c>
      <c r="G209" s="2">
        <v>45049</v>
      </c>
      <c r="H209" s="9">
        <v>0.9</v>
      </c>
      <c r="I209" s="2">
        <v>39995</v>
      </c>
      <c r="J209" s="4" t="s">
        <v>55</v>
      </c>
      <c r="K209" s="5">
        <v>13.8</v>
      </c>
      <c r="L209" s="1" t="s">
        <v>56</v>
      </c>
      <c r="M209" s="1" t="s">
        <v>370</v>
      </c>
      <c r="N209" s="1" t="s">
        <v>390</v>
      </c>
      <c r="O209" s="1" t="s">
        <v>390</v>
      </c>
      <c r="P209" s="1" t="s">
        <v>396</v>
      </c>
      <c r="Q209">
        <v>0.96056900000000001</v>
      </c>
      <c r="R209">
        <v>0.84231900000000004</v>
      </c>
      <c r="S209" s="16">
        <v>13.502049</v>
      </c>
      <c r="T209" s="15">
        <v>2016920453</v>
      </c>
      <c r="U209" s="13">
        <f t="shared" si="7"/>
        <v>0.73471158067770193</v>
      </c>
    </row>
    <row r="210" spans="1:21" x14ac:dyDescent="0.2">
      <c r="A210" s="1" t="s">
        <v>50</v>
      </c>
      <c r="B210" s="1" t="s">
        <v>52</v>
      </c>
      <c r="C210" s="1" t="s">
        <v>91</v>
      </c>
      <c r="D210" s="1" t="s">
        <v>30</v>
      </c>
      <c r="E210" s="1" t="s">
        <v>99</v>
      </c>
      <c r="F210" s="1" t="s">
        <v>53</v>
      </c>
      <c r="G210" s="2">
        <v>45049</v>
      </c>
      <c r="H210" s="9">
        <v>0.9</v>
      </c>
      <c r="I210" s="2">
        <v>39995</v>
      </c>
      <c r="J210" s="4" t="s">
        <v>55</v>
      </c>
      <c r="K210" s="5">
        <v>13.8</v>
      </c>
      <c r="L210" s="1" t="s">
        <v>56</v>
      </c>
      <c r="M210" s="1" t="s">
        <v>370</v>
      </c>
      <c r="N210" s="1" t="s">
        <v>390</v>
      </c>
      <c r="O210" s="1" t="s">
        <v>390</v>
      </c>
      <c r="P210" s="1" t="s">
        <v>396</v>
      </c>
      <c r="Q210">
        <v>0.96444099999999999</v>
      </c>
      <c r="R210">
        <v>0.86275400000000002</v>
      </c>
      <c r="S210" s="16">
        <v>14.183336000000001</v>
      </c>
      <c r="T210" s="15">
        <v>2102748179</v>
      </c>
      <c r="U210" s="13">
        <f t="shared" si="7"/>
        <v>0.76597638546543578</v>
      </c>
    </row>
    <row r="211" spans="1:21" x14ac:dyDescent="0.2">
      <c r="A211" s="1" t="s">
        <v>44</v>
      </c>
      <c r="B211" s="1" t="s">
        <v>52</v>
      </c>
      <c r="C211" s="1" t="s">
        <v>91</v>
      </c>
      <c r="D211" s="1" t="s">
        <v>30</v>
      </c>
      <c r="E211" s="1" t="s">
        <v>99</v>
      </c>
      <c r="F211" s="1" t="s">
        <v>53</v>
      </c>
      <c r="G211" s="2">
        <v>45049</v>
      </c>
      <c r="H211" s="9">
        <v>0.9</v>
      </c>
      <c r="I211" s="2">
        <v>39995</v>
      </c>
      <c r="J211" s="4" t="s">
        <v>55</v>
      </c>
      <c r="K211" s="5">
        <v>13.8</v>
      </c>
      <c r="L211" s="1" t="s">
        <v>56</v>
      </c>
      <c r="M211" s="1" t="s">
        <v>370</v>
      </c>
      <c r="N211" s="1" t="s">
        <v>390</v>
      </c>
      <c r="O211" s="1" t="s">
        <v>390</v>
      </c>
      <c r="P211" s="1" t="s">
        <v>396</v>
      </c>
      <c r="Q211">
        <v>0.95902900000000002</v>
      </c>
      <c r="R211">
        <v>0.83140400000000003</v>
      </c>
      <c r="S211" s="16">
        <v>13.029579</v>
      </c>
      <c r="T211" s="15">
        <v>1965729537</v>
      </c>
      <c r="U211" s="13">
        <f t="shared" si="7"/>
        <v>0.71606406349141083</v>
      </c>
    </row>
    <row r="212" spans="1:21" x14ac:dyDescent="0.2">
      <c r="A212" s="1" t="s">
        <v>45</v>
      </c>
      <c r="B212" s="1" t="s">
        <v>52</v>
      </c>
      <c r="C212" s="1" t="s">
        <v>91</v>
      </c>
      <c r="D212" s="1" t="s">
        <v>30</v>
      </c>
      <c r="E212" s="1" t="s">
        <v>99</v>
      </c>
      <c r="F212" s="1" t="s">
        <v>53</v>
      </c>
      <c r="G212" s="2">
        <v>45049</v>
      </c>
      <c r="H212" s="9">
        <v>0.9</v>
      </c>
      <c r="I212" s="2">
        <v>39995</v>
      </c>
      <c r="J212" s="4" t="s">
        <v>55</v>
      </c>
      <c r="K212" s="5">
        <v>13.8</v>
      </c>
      <c r="L212" s="1" t="s">
        <v>56</v>
      </c>
      <c r="M212" s="1" t="s">
        <v>370</v>
      </c>
      <c r="N212" s="1" t="s">
        <v>390</v>
      </c>
      <c r="O212" s="1" t="s">
        <v>390</v>
      </c>
      <c r="P212" s="1" t="s">
        <v>396</v>
      </c>
      <c r="Q212">
        <v>0.96003499999999997</v>
      </c>
      <c r="R212">
        <v>0.83160100000000003</v>
      </c>
      <c r="S212" s="16">
        <v>12.078832</v>
      </c>
      <c r="T212" s="15">
        <v>1958252633</v>
      </c>
      <c r="U212" s="13">
        <f t="shared" si="7"/>
        <v>0.71334042213597482</v>
      </c>
    </row>
    <row r="213" spans="1:21" x14ac:dyDescent="0.2">
      <c r="A213" s="1" t="s">
        <v>46</v>
      </c>
      <c r="B213" s="1" t="s">
        <v>52</v>
      </c>
      <c r="C213" s="1" t="s">
        <v>91</v>
      </c>
      <c r="D213" s="1" t="s">
        <v>30</v>
      </c>
      <c r="E213" s="1" t="s">
        <v>99</v>
      </c>
      <c r="F213" s="1" t="s">
        <v>53</v>
      </c>
      <c r="G213" s="2">
        <v>45049</v>
      </c>
      <c r="H213" s="9">
        <v>0.9</v>
      </c>
      <c r="I213" s="2">
        <v>39995</v>
      </c>
      <c r="J213" s="4" t="s">
        <v>55</v>
      </c>
      <c r="K213" s="5">
        <v>13.8</v>
      </c>
      <c r="L213" s="1" t="s">
        <v>56</v>
      </c>
      <c r="M213" s="1" t="s">
        <v>370</v>
      </c>
      <c r="N213" s="1" t="s">
        <v>390</v>
      </c>
      <c r="O213" s="1" t="s">
        <v>390</v>
      </c>
      <c r="P213" s="1" t="s">
        <v>396</v>
      </c>
      <c r="Q213">
        <v>0.96581700000000004</v>
      </c>
      <c r="R213">
        <v>0.883274</v>
      </c>
      <c r="S213" s="16">
        <v>15.951727</v>
      </c>
      <c r="T213" s="15">
        <v>2203574473</v>
      </c>
      <c r="U213" s="13">
        <f t="shared" si="7"/>
        <v>0.80270477786605299</v>
      </c>
    </row>
    <row r="214" spans="1:21" x14ac:dyDescent="0.2">
      <c r="A214" s="1" t="s">
        <v>57</v>
      </c>
      <c r="B214" s="1" t="s">
        <v>52</v>
      </c>
      <c r="C214" s="1" t="s">
        <v>91</v>
      </c>
      <c r="D214" s="1" t="s">
        <v>30</v>
      </c>
      <c r="E214" s="1" t="s">
        <v>99</v>
      </c>
      <c r="F214" s="1" t="s">
        <v>53</v>
      </c>
      <c r="G214" s="2">
        <v>45049</v>
      </c>
      <c r="H214" s="9">
        <v>0.9</v>
      </c>
      <c r="I214" s="2">
        <v>39995</v>
      </c>
      <c r="J214" s="4" t="s">
        <v>55</v>
      </c>
      <c r="K214" s="5">
        <v>13.8</v>
      </c>
      <c r="L214" s="1" t="s">
        <v>56</v>
      </c>
      <c r="M214" s="1" t="s">
        <v>387</v>
      </c>
      <c r="N214" s="1" t="s">
        <v>55</v>
      </c>
      <c r="O214" s="1" t="s">
        <v>55</v>
      </c>
      <c r="P214" s="1" t="s">
        <v>395</v>
      </c>
      <c r="Q214">
        <v>0.97802999999999995</v>
      </c>
      <c r="R214">
        <v>0.97105200000000003</v>
      </c>
      <c r="S214" s="16">
        <v>26.182562000000001</v>
      </c>
      <c r="T214" s="15" t="s">
        <v>55</v>
      </c>
      <c r="U214" s="13" t="e">
        <f t="shared" si="7"/>
        <v>#VALUE!</v>
      </c>
    </row>
    <row r="215" spans="1:21" x14ac:dyDescent="0.2">
      <c r="A215" s="1" t="s">
        <v>51</v>
      </c>
      <c r="B215" s="1" t="s">
        <v>52</v>
      </c>
      <c r="C215" s="1" t="s">
        <v>91</v>
      </c>
      <c r="D215" s="1" t="s">
        <v>30</v>
      </c>
      <c r="E215" s="1" t="s">
        <v>99</v>
      </c>
      <c r="F215" s="1" t="s">
        <v>53</v>
      </c>
      <c r="G215" s="2">
        <v>45049</v>
      </c>
      <c r="H215" s="9">
        <v>0.9</v>
      </c>
      <c r="I215" s="2">
        <v>39995</v>
      </c>
      <c r="J215" s="4" t="s">
        <v>55</v>
      </c>
      <c r="K215" s="5">
        <v>13.8</v>
      </c>
      <c r="L215" s="1" t="s">
        <v>56</v>
      </c>
      <c r="M215" s="1" t="s">
        <v>386</v>
      </c>
      <c r="N215" s="1" t="s">
        <v>55</v>
      </c>
      <c r="O215" s="1" t="s">
        <v>55</v>
      </c>
      <c r="P215" s="1" t="s">
        <v>396</v>
      </c>
      <c r="Q215" s="12" t="s">
        <v>55</v>
      </c>
      <c r="R215" s="12" t="s">
        <v>55</v>
      </c>
      <c r="S215" s="17" t="s">
        <v>55</v>
      </c>
      <c r="T215" s="14" t="s">
        <v>55</v>
      </c>
      <c r="U215" s="13" t="e">
        <f t="shared" si="7"/>
        <v>#VALUE!</v>
      </c>
    </row>
    <row r="216" spans="1:21" x14ac:dyDescent="0.2">
      <c r="A216" s="1" t="s">
        <v>100</v>
      </c>
      <c r="B216" s="1" t="s">
        <v>52</v>
      </c>
      <c r="C216" s="1" t="s">
        <v>91</v>
      </c>
      <c r="D216" s="1" t="s">
        <v>30</v>
      </c>
      <c r="E216" s="1" t="s">
        <v>105</v>
      </c>
      <c r="F216" s="1" t="s">
        <v>53</v>
      </c>
      <c r="G216" s="2">
        <v>45049</v>
      </c>
      <c r="H216" s="9">
        <v>0.9</v>
      </c>
      <c r="I216" s="2">
        <v>39995</v>
      </c>
      <c r="J216" s="4" t="s">
        <v>55</v>
      </c>
      <c r="K216" s="5">
        <v>13.8</v>
      </c>
      <c r="L216" s="1" t="s">
        <v>56</v>
      </c>
      <c r="M216" s="1" t="s">
        <v>370</v>
      </c>
      <c r="N216" s="1" t="s">
        <v>390</v>
      </c>
      <c r="O216" s="1" t="s">
        <v>390</v>
      </c>
      <c r="P216" s="1" t="s">
        <v>396</v>
      </c>
      <c r="Q216">
        <v>0.89538300000000004</v>
      </c>
      <c r="R216">
        <v>0.62207900000000005</v>
      </c>
      <c r="S216" s="16">
        <v>8.713984</v>
      </c>
      <c r="T216" s="15">
        <v>1313388880</v>
      </c>
      <c r="U216" s="13">
        <f t="shared" si="7"/>
        <v>0.47843335548212446</v>
      </c>
    </row>
    <row r="217" spans="1:21" x14ac:dyDescent="0.2">
      <c r="A217" s="1" t="s">
        <v>101</v>
      </c>
      <c r="B217" s="1" t="s">
        <v>52</v>
      </c>
      <c r="C217" s="1" t="s">
        <v>91</v>
      </c>
      <c r="D217" s="1" t="s">
        <v>30</v>
      </c>
      <c r="E217" s="1" t="s">
        <v>105</v>
      </c>
      <c r="F217" s="1" t="s">
        <v>53</v>
      </c>
      <c r="G217" s="2">
        <v>45049</v>
      </c>
      <c r="H217" s="9">
        <v>0.9</v>
      </c>
      <c r="I217" s="2">
        <v>39995</v>
      </c>
      <c r="J217" s="4" t="s">
        <v>55</v>
      </c>
      <c r="K217" s="5">
        <v>13.8</v>
      </c>
      <c r="L217" s="1" t="s">
        <v>56</v>
      </c>
      <c r="M217" s="1" t="s">
        <v>36</v>
      </c>
      <c r="N217" s="1" t="s">
        <v>392</v>
      </c>
      <c r="O217" s="1" t="s">
        <v>390</v>
      </c>
      <c r="P217" s="1" t="s">
        <v>396</v>
      </c>
      <c r="Q217">
        <v>0.95650900000000005</v>
      </c>
      <c r="R217">
        <v>0.73698200000000003</v>
      </c>
      <c r="S217" s="16">
        <v>8.6951210000000003</v>
      </c>
      <c r="T217" s="15">
        <v>1519346612</v>
      </c>
      <c r="U217" s="13">
        <f t="shared" si="7"/>
        <v>0.55345839209447045</v>
      </c>
    </row>
    <row r="218" spans="1:21" x14ac:dyDescent="0.2">
      <c r="A218" s="1" t="s">
        <v>102</v>
      </c>
      <c r="B218" s="1" t="s">
        <v>52</v>
      </c>
      <c r="C218" s="1" t="s">
        <v>91</v>
      </c>
      <c r="D218" s="1" t="s">
        <v>30</v>
      </c>
      <c r="E218" s="1" t="s">
        <v>105</v>
      </c>
      <c r="F218" s="1" t="s">
        <v>53</v>
      </c>
      <c r="G218" s="2">
        <v>45049</v>
      </c>
      <c r="H218" s="9">
        <v>0.9</v>
      </c>
      <c r="I218" s="2">
        <v>39995</v>
      </c>
      <c r="J218" s="4" t="s">
        <v>55</v>
      </c>
      <c r="K218" s="5">
        <v>13.8</v>
      </c>
      <c r="L218" s="1" t="s">
        <v>56</v>
      </c>
      <c r="M218" s="1" t="s">
        <v>36</v>
      </c>
      <c r="N218" s="1" t="s">
        <v>391</v>
      </c>
      <c r="O218" s="1" t="s">
        <v>390</v>
      </c>
      <c r="P218" s="1" t="s">
        <v>396</v>
      </c>
      <c r="Q218">
        <v>0.91670099999999999</v>
      </c>
      <c r="R218">
        <v>0.67818400000000001</v>
      </c>
      <c r="S218" s="16">
        <v>9.7677359999999993</v>
      </c>
      <c r="T218" s="15">
        <v>1496672757</v>
      </c>
      <c r="U218" s="13">
        <f t="shared" si="7"/>
        <v>0.54519889736708615</v>
      </c>
    </row>
    <row r="219" spans="1:21" x14ac:dyDescent="0.2">
      <c r="A219" s="1" t="s">
        <v>103</v>
      </c>
      <c r="B219" s="1" t="s">
        <v>52</v>
      </c>
      <c r="C219" s="1" t="s">
        <v>91</v>
      </c>
      <c r="D219" s="1" t="s">
        <v>30</v>
      </c>
      <c r="E219" s="1" t="s">
        <v>105</v>
      </c>
      <c r="F219" s="1" t="s">
        <v>53</v>
      </c>
      <c r="G219" s="2">
        <v>45049</v>
      </c>
      <c r="H219" s="9">
        <v>0.9</v>
      </c>
      <c r="I219" s="2">
        <v>39995</v>
      </c>
      <c r="J219" s="4" t="s">
        <v>55</v>
      </c>
      <c r="K219" s="5">
        <v>13.8</v>
      </c>
      <c r="L219" s="1" t="s">
        <v>56</v>
      </c>
      <c r="M219" s="1" t="s">
        <v>36</v>
      </c>
      <c r="N219" s="1" t="s">
        <v>392</v>
      </c>
      <c r="O219" s="1" t="s">
        <v>390</v>
      </c>
      <c r="P219" s="1" t="s">
        <v>396</v>
      </c>
      <c r="Q219">
        <v>0.94728400000000001</v>
      </c>
      <c r="R219">
        <v>0.68508000000000002</v>
      </c>
      <c r="S219" s="16">
        <v>8.1514520000000008</v>
      </c>
      <c r="T219" s="15">
        <v>1397397283</v>
      </c>
      <c r="U219" s="13">
        <f t="shared" si="7"/>
        <v>0.50903542829393678</v>
      </c>
    </row>
    <row r="220" spans="1:21" x14ac:dyDescent="0.2">
      <c r="A220" s="1" t="s">
        <v>104</v>
      </c>
      <c r="B220" s="1" t="s">
        <v>52</v>
      </c>
      <c r="C220" s="1" t="s">
        <v>91</v>
      </c>
      <c r="D220" s="1" t="s">
        <v>30</v>
      </c>
      <c r="E220" s="1" t="s">
        <v>105</v>
      </c>
      <c r="F220" s="1" t="s">
        <v>53</v>
      </c>
      <c r="G220" s="2">
        <v>45049</v>
      </c>
      <c r="H220" s="9">
        <v>0.9</v>
      </c>
      <c r="I220" s="2">
        <v>39995</v>
      </c>
      <c r="J220" s="4" t="s">
        <v>55</v>
      </c>
      <c r="K220" s="5">
        <v>13.8</v>
      </c>
      <c r="L220" s="1" t="s">
        <v>56</v>
      </c>
      <c r="M220" s="1" t="s">
        <v>36</v>
      </c>
      <c r="N220" s="1" t="s">
        <v>391</v>
      </c>
      <c r="O220" s="1" t="s">
        <v>391</v>
      </c>
      <c r="P220" s="1" t="s">
        <v>395</v>
      </c>
      <c r="Q220">
        <v>0.96030199999999999</v>
      </c>
      <c r="R220">
        <v>0.85034299999999996</v>
      </c>
      <c r="S220" s="16">
        <v>12.101818</v>
      </c>
      <c r="T220" s="15">
        <v>2017196710</v>
      </c>
      <c r="U220" s="13">
        <f t="shared" si="7"/>
        <v>0.73481221390636564</v>
      </c>
    </row>
    <row r="221" spans="1:21" x14ac:dyDescent="0.2">
      <c r="A221" s="1" t="s">
        <v>70</v>
      </c>
      <c r="B221" s="1" t="s">
        <v>82</v>
      </c>
      <c r="C221" s="1" t="s">
        <v>92</v>
      </c>
      <c r="D221" s="1" t="s">
        <v>30</v>
      </c>
      <c r="E221" s="1" t="s">
        <v>99</v>
      </c>
      <c r="F221" s="1" t="s">
        <v>83</v>
      </c>
      <c r="G221" s="2">
        <v>43938</v>
      </c>
      <c r="H221" s="9">
        <v>0.92</v>
      </c>
      <c r="I221" s="2">
        <v>38808</v>
      </c>
      <c r="J221" s="2">
        <v>44470</v>
      </c>
      <c r="K221" s="5">
        <v>14</v>
      </c>
      <c r="L221" s="1" t="s">
        <v>56</v>
      </c>
      <c r="M221" s="1" t="s">
        <v>370</v>
      </c>
      <c r="N221" s="1" t="s">
        <v>390</v>
      </c>
      <c r="O221" s="1" t="s">
        <v>390</v>
      </c>
      <c r="P221" s="1" t="s">
        <v>396</v>
      </c>
      <c r="Q221">
        <v>0.96584300000000001</v>
      </c>
      <c r="R221">
        <v>0.88010699999999997</v>
      </c>
      <c r="S221" s="16">
        <v>15.672419</v>
      </c>
      <c r="T221" s="14">
        <v>2135615082</v>
      </c>
      <c r="U221" s="13">
        <f t="shared" si="7"/>
        <v>0.77794894205248066</v>
      </c>
    </row>
    <row r="222" spans="1:21" x14ac:dyDescent="0.2">
      <c r="A222" s="1" t="s">
        <v>71</v>
      </c>
      <c r="B222" s="1" t="s">
        <v>82</v>
      </c>
      <c r="C222" s="1" t="s">
        <v>92</v>
      </c>
      <c r="D222" s="1" t="s">
        <v>30</v>
      </c>
      <c r="E222" s="1" t="s">
        <v>99</v>
      </c>
      <c r="F222" s="1" t="s">
        <v>83</v>
      </c>
      <c r="G222" s="2">
        <v>43938</v>
      </c>
      <c r="H222" s="9">
        <v>0.92</v>
      </c>
      <c r="I222" s="2">
        <v>38808</v>
      </c>
      <c r="J222" s="2">
        <v>44470</v>
      </c>
      <c r="K222" s="5">
        <v>14</v>
      </c>
      <c r="L222" s="1" t="s">
        <v>56</v>
      </c>
      <c r="M222" s="1" t="s">
        <v>370</v>
      </c>
      <c r="N222" s="1" t="s">
        <v>391</v>
      </c>
      <c r="O222" s="1" t="s">
        <v>391</v>
      </c>
      <c r="P222" s="1" t="s">
        <v>395</v>
      </c>
      <c r="Q222">
        <v>0.96598300000000004</v>
      </c>
      <c r="R222">
        <v>0.89222900000000005</v>
      </c>
      <c r="S222" s="16">
        <v>17.521543999999999</v>
      </c>
      <c r="T222" s="14">
        <v>2245997406</v>
      </c>
      <c r="U222" s="13">
        <f t="shared" si="7"/>
        <v>0.81815834724954228</v>
      </c>
    </row>
    <row r="223" spans="1:21" x14ac:dyDescent="0.2">
      <c r="A223" s="1" t="s">
        <v>72</v>
      </c>
      <c r="B223" s="1" t="s">
        <v>82</v>
      </c>
      <c r="C223" s="1" t="s">
        <v>92</v>
      </c>
      <c r="D223" s="1" t="s">
        <v>30</v>
      </c>
      <c r="E223" s="1" t="s">
        <v>99</v>
      </c>
      <c r="F223" s="1" t="s">
        <v>83</v>
      </c>
      <c r="G223" s="2">
        <v>43938</v>
      </c>
      <c r="H223" s="9">
        <v>0.92</v>
      </c>
      <c r="I223" s="2">
        <v>38808</v>
      </c>
      <c r="J223" s="2">
        <v>44470</v>
      </c>
      <c r="K223" s="5">
        <v>14</v>
      </c>
      <c r="L223" s="1" t="s">
        <v>56</v>
      </c>
      <c r="M223" s="1" t="s">
        <v>370</v>
      </c>
      <c r="N223" s="1" t="s">
        <v>392</v>
      </c>
      <c r="O223" s="1" t="s">
        <v>392</v>
      </c>
      <c r="P223" s="1" t="s">
        <v>396</v>
      </c>
      <c r="Q223">
        <v>0.92920199999999997</v>
      </c>
      <c r="R223">
        <v>0.82869300000000001</v>
      </c>
      <c r="S223" s="16">
        <v>17.568617</v>
      </c>
      <c r="T223" s="14">
        <v>2008333582</v>
      </c>
      <c r="U223" s="13">
        <f t="shared" si="7"/>
        <v>0.73158360725857097</v>
      </c>
    </row>
    <row r="224" spans="1:21" x14ac:dyDescent="0.2">
      <c r="A224" s="1" t="s">
        <v>73</v>
      </c>
      <c r="B224" s="1" t="s">
        <v>82</v>
      </c>
      <c r="C224" s="1" t="s">
        <v>92</v>
      </c>
      <c r="D224" s="1" t="s">
        <v>30</v>
      </c>
      <c r="E224" s="1" t="s">
        <v>99</v>
      </c>
      <c r="F224" s="1" t="s">
        <v>83</v>
      </c>
      <c r="G224" s="2">
        <v>43938</v>
      </c>
      <c r="H224" s="9">
        <v>0.92</v>
      </c>
      <c r="I224" s="2">
        <v>38808</v>
      </c>
      <c r="J224" s="2">
        <v>44470</v>
      </c>
      <c r="K224" s="5">
        <v>14</v>
      </c>
      <c r="L224" s="1" t="s">
        <v>56</v>
      </c>
      <c r="M224" s="1" t="s">
        <v>370</v>
      </c>
      <c r="N224" s="1" t="s">
        <v>392</v>
      </c>
      <c r="O224" s="1" t="s">
        <v>392</v>
      </c>
      <c r="P224" s="1" t="s">
        <v>396</v>
      </c>
      <c r="Q224">
        <v>0.93560399999999999</v>
      </c>
      <c r="R224">
        <v>0.80808500000000005</v>
      </c>
      <c r="S224" s="16">
        <v>14.093036</v>
      </c>
      <c r="T224" s="14">
        <v>1896721398</v>
      </c>
      <c r="U224" s="13">
        <f t="shared" si="7"/>
        <v>0.69092619610110151</v>
      </c>
    </row>
    <row r="225" spans="1:21" x14ac:dyDescent="0.2">
      <c r="A225" s="1" t="s">
        <v>74</v>
      </c>
      <c r="B225" s="1" t="s">
        <v>82</v>
      </c>
      <c r="C225" s="1" t="s">
        <v>92</v>
      </c>
      <c r="D225" s="1" t="s">
        <v>30</v>
      </c>
      <c r="E225" s="1" t="s">
        <v>99</v>
      </c>
      <c r="F225" s="1" t="s">
        <v>83</v>
      </c>
      <c r="G225" s="2">
        <v>43938</v>
      </c>
      <c r="H225" s="9">
        <v>0.92</v>
      </c>
      <c r="I225" s="2">
        <v>38808</v>
      </c>
      <c r="J225" s="2">
        <v>44470</v>
      </c>
      <c r="K225" s="5">
        <v>14</v>
      </c>
      <c r="L225" s="1" t="s">
        <v>56</v>
      </c>
      <c r="M225" s="1" t="s">
        <v>370</v>
      </c>
      <c r="N225" s="1" t="s">
        <v>390</v>
      </c>
      <c r="O225" s="1" t="s">
        <v>390</v>
      </c>
      <c r="P225" s="1" t="s">
        <v>395</v>
      </c>
      <c r="Q225">
        <v>0.96881600000000001</v>
      </c>
      <c r="R225">
        <v>0.90344100000000005</v>
      </c>
      <c r="S225" s="16">
        <v>17.778379999999999</v>
      </c>
      <c r="T225" s="14">
        <v>2289354297</v>
      </c>
      <c r="U225" s="13">
        <f t="shared" si="7"/>
        <v>0.83395213320302375</v>
      </c>
    </row>
    <row r="226" spans="1:21" x14ac:dyDescent="0.2">
      <c r="A226" s="1" t="s">
        <v>75</v>
      </c>
      <c r="B226" s="1" t="s">
        <v>82</v>
      </c>
      <c r="C226" s="1" t="s">
        <v>92</v>
      </c>
      <c r="D226" s="1" t="s">
        <v>30</v>
      </c>
      <c r="E226" s="1" t="s">
        <v>99</v>
      </c>
      <c r="F226" s="1" t="s">
        <v>83</v>
      </c>
      <c r="G226" s="2">
        <v>43938</v>
      </c>
      <c r="H226" s="9">
        <v>0.92</v>
      </c>
      <c r="I226" s="2">
        <v>38808</v>
      </c>
      <c r="J226" s="2">
        <v>44470</v>
      </c>
      <c r="K226" s="5">
        <v>14</v>
      </c>
      <c r="L226" s="1" t="s">
        <v>56</v>
      </c>
      <c r="M226" s="1" t="s">
        <v>370</v>
      </c>
      <c r="N226" s="1" t="s">
        <v>392</v>
      </c>
      <c r="O226" s="1" t="s">
        <v>392</v>
      </c>
      <c r="P226" s="1" t="s">
        <v>396</v>
      </c>
      <c r="Q226">
        <v>0.87575000000000003</v>
      </c>
      <c r="R226">
        <v>0.76366500000000004</v>
      </c>
      <c r="S226" s="16">
        <v>16.851814000000001</v>
      </c>
      <c r="T226" s="14">
        <v>1852656898</v>
      </c>
      <c r="U226" s="13">
        <f t="shared" si="7"/>
        <v>0.67487464662198449</v>
      </c>
    </row>
    <row r="227" spans="1:21" x14ac:dyDescent="0.2">
      <c r="A227" s="1" t="s">
        <v>76</v>
      </c>
      <c r="B227" s="1" t="s">
        <v>82</v>
      </c>
      <c r="C227" s="1" t="s">
        <v>92</v>
      </c>
      <c r="D227" s="1" t="s">
        <v>30</v>
      </c>
      <c r="E227" s="1" t="s">
        <v>99</v>
      </c>
      <c r="F227" s="1" t="s">
        <v>83</v>
      </c>
      <c r="G227" s="2">
        <v>43938</v>
      </c>
      <c r="H227" s="9">
        <v>0.92</v>
      </c>
      <c r="I227" s="2">
        <v>38808</v>
      </c>
      <c r="J227" s="2">
        <v>44470</v>
      </c>
      <c r="K227" s="5">
        <v>14</v>
      </c>
      <c r="L227" s="1" t="s">
        <v>56</v>
      </c>
      <c r="M227" s="1" t="s">
        <v>370</v>
      </c>
      <c r="N227" s="1" t="s">
        <v>392</v>
      </c>
      <c r="O227" s="1" t="s">
        <v>392</v>
      </c>
      <c r="P227" s="1" t="s">
        <v>396</v>
      </c>
      <c r="Q227">
        <v>0.896845</v>
      </c>
      <c r="R227">
        <v>0.77542699999999998</v>
      </c>
      <c r="S227" s="16">
        <v>15.711980000000001</v>
      </c>
      <c r="T227" s="14">
        <v>1861074375</v>
      </c>
      <c r="U227" s="13">
        <f t="shared" si="7"/>
        <v>0.67794091421959324</v>
      </c>
    </row>
    <row r="228" spans="1:21" x14ac:dyDescent="0.2">
      <c r="A228" s="1" t="s">
        <v>77</v>
      </c>
      <c r="B228" s="1" t="s">
        <v>82</v>
      </c>
      <c r="C228" s="1" t="s">
        <v>92</v>
      </c>
      <c r="D228" s="1" t="s">
        <v>30</v>
      </c>
      <c r="E228" s="1" t="s">
        <v>99</v>
      </c>
      <c r="F228" s="1" t="s">
        <v>83</v>
      </c>
      <c r="G228" s="2">
        <v>43938</v>
      </c>
      <c r="H228" s="9">
        <v>0.92</v>
      </c>
      <c r="I228" s="2">
        <v>38808</v>
      </c>
      <c r="J228" s="2">
        <v>44470</v>
      </c>
      <c r="K228" s="5">
        <v>14</v>
      </c>
      <c r="L228" s="1" t="s">
        <v>56</v>
      </c>
      <c r="M228" s="1" t="s">
        <v>370</v>
      </c>
      <c r="N228" s="1" t="s">
        <v>392</v>
      </c>
      <c r="O228" s="1" t="s">
        <v>392</v>
      </c>
      <c r="P228" s="1" t="s">
        <v>396</v>
      </c>
      <c r="Q228">
        <v>0.81586899999999996</v>
      </c>
      <c r="R228">
        <v>0.71133900000000005</v>
      </c>
      <c r="S228" s="16">
        <v>18.73715</v>
      </c>
      <c r="T228" s="14">
        <v>1776282370</v>
      </c>
      <c r="U228" s="13">
        <f t="shared" si="7"/>
        <v>0.64705339561184694</v>
      </c>
    </row>
    <row r="229" spans="1:21" x14ac:dyDescent="0.2">
      <c r="A229" s="1" t="s">
        <v>78</v>
      </c>
      <c r="B229" s="1" t="s">
        <v>82</v>
      </c>
      <c r="C229" s="1" t="s">
        <v>92</v>
      </c>
      <c r="D229" s="1" t="s">
        <v>30</v>
      </c>
      <c r="E229" s="1" t="s">
        <v>99</v>
      </c>
      <c r="F229" s="1" t="s">
        <v>83</v>
      </c>
      <c r="G229" s="2">
        <v>43938</v>
      </c>
      <c r="H229" s="9">
        <v>0.92</v>
      </c>
      <c r="I229" s="2">
        <v>38808</v>
      </c>
      <c r="J229" s="2">
        <v>44470</v>
      </c>
      <c r="K229" s="5">
        <v>14</v>
      </c>
      <c r="L229" s="1" t="s">
        <v>56</v>
      </c>
      <c r="M229" s="1" t="s">
        <v>370</v>
      </c>
      <c r="N229" s="1" t="s">
        <v>391</v>
      </c>
      <c r="O229" s="1" t="s">
        <v>391</v>
      </c>
      <c r="P229" s="1" t="s">
        <v>396</v>
      </c>
      <c r="Q229">
        <v>0.96493499999999999</v>
      </c>
      <c r="R229">
        <v>0.88649</v>
      </c>
      <c r="S229" s="16">
        <v>16.990925000000001</v>
      </c>
      <c r="T229" s="14">
        <v>2181551544</v>
      </c>
      <c r="U229" s="13">
        <f t="shared" si="7"/>
        <v>0.79468239852398437</v>
      </c>
    </row>
    <row r="230" spans="1:21" x14ac:dyDescent="0.2">
      <c r="A230" s="1" t="s">
        <v>79</v>
      </c>
      <c r="B230" s="1" t="s">
        <v>82</v>
      </c>
      <c r="C230" s="1" t="s">
        <v>92</v>
      </c>
      <c r="D230" s="1" t="s">
        <v>30</v>
      </c>
      <c r="E230" s="1" t="s">
        <v>99</v>
      </c>
      <c r="F230" s="1" t="s">
        <v>83</v>
      </c>
      <c r="G230" s="2">
        <v>43938</v>
      </c>
      <c r="H230" s="9">
        <v>0.92</v>
      </c>
      <c r="I230" s="2">
        <v>38808</v>
      </c>
      <c r="J230" s="2">
        <v>44470</v>
      </c>
      <c r="K230" s="5">
        <v>14</v>
      </c>
      <c r="L230" s="1" t="s">
        <v>56</v>
      </c>
      <c r="M230" s="1" t="s">
        <v>370</v>
      </c>
      <c r="N230" s="1" t="s">
        <v>390</v>
      </c>
      <c r="O230" s="1" t="s">
        <v>390</v>
      </c>
      <c r="P230" s="1" t="s">
        <v>396</v>
      </c>
      <c r="Q230">
        <v>0.97228800000000004</v>
      </c>
      <c r="R230">
        <v>0.93288099999999996</v>
      </c>
      <c r="S230" s="16">
        <v>24.633628000000002</v>
      </c>
      <c r="T230" s="14">
        <v>2407179313</v>
      </c>
      <c r="U230" s="13">
        <f t="shared" si="7"/>
        <v>0.87687271721513671</v>
      </c>
    </row>
    <row r="231" spans="1:21" x14ac:dyDescent="0.2">
      <c r="A231" s="1" t="s">
        <v>80</v>
      </c>
      <c r="B231" s="1" t="s">
        <v>82</v>
      </c>
      <c r="C231" s="1" t="s">
        <v>92</v>
      </c>
      <c r="D231" s="1" t="s">
        <v>30</v>
      </c>
      <c r="E231" s="1" t="s">
        <v>99</v>
      </c>
      <c r="F231" s="1" t="s">
        <v>83</v>
      </c>
      <c r="G231" s="2">
        <v>43938</v>
      </c>
      <c r="H231" s="9">
        <v>0.92</v>
      </c>
      <c r="I231" s="2">
        <v>38808</v>
      </c>
      <c r="J231" s="2">
        <v>44470</v>
      </c>
      <c r="K231" s="5">
        <v>14</v>
      </c>
      <c r="L231" s="1" t="s">
        <v>56</v>
      </c>
      <c r="M231" s="1" t="s">
        <v>370</v>
      </c>
      <c r="N231" s="1" t="s">
        <v>391</v>
      </c>
      <c r="O231" s="1" t="s">
        <v>391</v>
      </c>
      <c r="P231" s="1" t="s">
        <v>396</v>
      </c>
      <c r="Q231">
        <v>0.96223499999999995</v>
      </c>
      <c r="R231">
        <v>0.88721499999999998</v>
      </c>
      <c r="S231" s="16">
        <v>17.421512</v>
      </c>
      <c r="T231" s="14">
        <v>2190016898</v>
      </c>
      <c r="U231" s="13">
        <f t="shared" si="7"/>
        <v>0.79776610646550739</v>
      </c>
    </row>
    <row r="232" spans="1:21" x14ac:dyDescent="0.2">
      <c r="A232" s="1" t="s">
        <v>81</v>
      </c>
      <c r="B232" s="1" t="s">
        <v>82</v>
      </c>
      <c r="C232" s="1" t="s">
        <v>92</v>
      </c>
      <c r="D232" s="1" t="s">
        <v>30</v>
      </c>
      <c r="E232" s="1" t="s">
        <v>99</v>
      </c>
      <c r="F232" s="1" t="s">
        <v>83</v>
      </c>
      <c r="G232" s="2">
        <v>43938</v>
      </c>
      <c r="H232" s="9">
        <v>0.92</v>
      </c>
      <c r="I232" s="2">
        <v>38808</v>
      </c>
      <c r="J232" s="2">
        <v>44470</v>
      </c>
      <c r="K232" s="5">
        <v>14</v>
      </c>
      <c r="L232" s="1" t="s">
        <v>56</v>
      </c>
      <c r="M232" s="1" t="s">
        <v>370</v>
      </c>
      <c r="N232" s="1" t="s">
        <v>391</v>
      </c>
      <c r="O232" s="1" t="s">
        <v>391</v>
      </c>
      <c r="P232" s="1" t="s">
        <v>396</v>
      </c>
      <c r="Q232">
        <v>0.96269700000000002</v>
      </c>
      <c r="R232">
        <v>0.89131800000000005</v>
      </c>
      <c r="S232" s="16">
        <v>18.715343000000001</v>
      </c>
      <c r="T232" s="14">
        <v>2223630318</v>
      </c>
      <c r="U232" s="13">
        <f t="shared" si="7"/>
        <v>0.81001059974904277</v>
      </c>
    </row>
    <row r="233" spans="1:21" x14ac:dyDescent="0.2">
      <c r="A233" s="1" t="s">
        <v>86</v>
      </c>
      <c r="B233" s="1" t="s">
        <v>82</v>
      </c>
      <c r="C233" s="1" t="s">
        <v>92</v>
      </c>
      <c r="D233" s="1" t="s">
        <v>30</v>
      </c>
      <c r="E233" s="1" t="s">
        <v>99</v>
      </c>
      <c r="F233" s="1" t="s">
        <v>83</v>
      </c>
      <c r="G233" s="2">
        <v>43938</v>
      </c>
      <c r="H233" s="9">
        <v>0.92</v>
      </c>
      <c r="I233" s="2">
        <v>38808</v>
      </c>
      <c r="J233" s="2">
        <v>44470</v>
      </c>
      <c r="K233" s="5">
        <v>14</v>
      </c>
      <c r="L233" s="1" t="s">
        <v>56</v>
      </c>
      <c r="M233" s="1" t="s">
        <v>386</v>
      </c>
      <c r="N233" s="1" t="s">
        <v>55</v>
      </c>
      <c r="O233" s="1" t="s">
        <v>55</v>
      </c>
      <c r="P233" s="1" t="s">
        <v>396</v>
      </c>
      <c r="Q233" s="12" t="s">
        <v>55</v>
      </c>
      <c r="R233" s="12" t="s">
        <v>55</v>
      </c>
      <c r="S233" s="17" t="s">
        <v>55</v>
      </c>
      <c r="T233" s="14" t="s">
        <v>55</v>
      </c>
      <c r="U233" s="13" t="e">
        <f t="shared" si="7"/>
        <v>#VALUE!</v>
      </c>
    </row>
    <row r="234" spans="1:21" x14ac:dyDescent="0.2">
      <c r="A234" s="1" t="s">
        <v>361</v>
      </c>
      <c r="B234" s="1" t="s">
        <v>82</v>
      </c>
      <c r="C234" s="1" t="s">
        <v>92</v>
      </c>
      <c r="D234" s="1" t="s">
        <v>30</v>
      </c>
      <c r="E234" s="1" t="s">
        <v>105</v>
      </c>
      <c r="F234" s="1" t="s">
        <v>83</v>
      </c>
      <c r="G234" s="2">
        <v>43938</v>
      </c>
      <c r="H234" s="9">
        <v>0.92</v>
      </c>
      <c r="I234" s="2">
        <v>38808</v>
      </c>
      <c r="J234" s="2">
        <v>44470</v>
      </c>
      <c r="K234" s="5">
        <v>14</v>
      </c>
      <c r="L234" s="1" t="s">
        <v>56</v>
      </c>
      <c r="M234" s="1" t="s">
        <v>370</v>
      </c>
      <c r="N234" s="1" t="s">
        <v>392</v>
      </c>
      <c r="O234" s="1" t="s">
        <v>392</v>
      </c>
      <c r="P234" s="1" t="s">
        <v>396</v>
      </c>
      <c r="Q234">
        <v>0.90837400000000001</v>
      </c>
      <c r="R234">
        <v>0.72816499999999995</v>
      </c>
      <c r="S234" s="16">
        <v>10.786854999999999</v>
      </c>
      <c r="T234" s="14">
        <v>1680818187</v>
      </c>
      <c r="U234" s="13">
        <f>T234/2745186691</f>
        <v>0.61227828056667499</v>
      </c>
    </row>
    <row r="235" spans="1:21" x14ac:dyDescent="0.2">
      <c r="A235" s="1" t="s">
        <v>362</v>
      </c>
      <c r="B235" s="1" t="s">
        <v>82</v>
      </c>
      <c r="C235" s="1" t="s">
        <v>92</v>
      </c>
      <c r="D235" s="1" t="s">
        <v>30</v>
      </c>
      <c r="E235" s="1" t="s">
        <v>105</v>
      </c>
      <c r="F235" s="1" t="s">
        <v>83</v>
      </c>
      <c r="G235" s="2">
        <v>43938</v>
      </c>
      <c r="H235" s="9">
        <v>0.92</v>
      </c>
      <c r="I235" s="2">
        <v>38808</v>
      </c>
      <c r="J235" s="2">
        <v>44470</v>
      </c>
      <c r="K235" s="5">
        <v>14</v>
      </c>
      <c r="L235" s="1" t="s">
        <v>56</v>
      </c>
      <c r="M235" s="1" t="s">
        <v>370</v>
      </c>
      <c r="N235" s="1" t="s">
        <v>392</v>
      </c>
      <c r="O235" s="1" t="s">
        <v>392</v>
      </c>
      <c r="P235" s="1" t="s">
        <v>396</v>
      </c>
      <c r="Q235">
        <v>0.87366100000000002</v>
      </c>
      <c r="R235">
        <v>0.70648200000000005</v>
      </c>
      <c r="S235" s="16">
        <v>11.180037</v>
      </c>
      <c r="T235" s="14">
        <v>1591351615</v>
      </c>
      <c r="U235" s="13">
        <f t="shared" si="7"/>
        <v>0.57968793897230797</v>
      </c>
    </row>
    <row r="236" spans="1:21" x14ac:dyDescent="0.2">
      <c r="A236" s="1" t="s">
        <v>363</v>
      </c>
      <c r="B236" s="1" t="s">
        <v>82</v>
      </c>
      <c r="C236" s="1" t="s">
        <v>92</v>
      </c>
      <c r="D236" s="1" t="s">
        <v>30</v>
      </c>
      <c r="E236" s="1" t="s">
        <v>105</v>
      </c>
      <c r="F236" s="1" t="s">
        <v>83</v>
      </c>
      <c r="G236" s="2">
        <v>43938</v>
      </c>
      <c r="H236" s="9">
        <v>0.92</v>
      </c>
      <c r="I236" s="2">
        <v>38808</v>
      </c>
      <c r="J236" s="2">
        <v>44470</v>
      </c>
      <c r="K236" s="5">
        <v>14</v>
      </c>
      <c r="L236" s="1" t="s">
        <v>56</v>
      </c>
      <c r="M236" s="1" t="s">
        <v>370</v>
      </c>
      <c r="N236" s="1" t="s">
        <v>392</v>
      </c>
      <c r="O236" s="1" t="s">
        <v>392</v>
      </c>
      <c r="P236" s="1" t="s">
        <v>396</v>
      </c>
      <c r="Q236">
        <v>0.87476900000000002</v>
      </c>
      <c r="R236">
        <v>0.66150799999999998</v>
      </c>
      <c r="S236" s="16">
        <v>9.4556979999999999</v>
      </c>
      <c r="T236" s="14">
        <v>1420378243</v>
      </c>
      <c r="U236" s="13">
        <f t="shared" si="7"/>
        <v>0.51740679337280093</v>
      </c>
    </row>
    <row r="237" spans="1:21" x14ac:dyDescent="0.2">
      <c r="A237" s="1" t="s">
        <v>364</v>
      </c>
      <c r="B237" s="1" t="s">
        <v>82</v>
      </c>
      <c r="C237" s="1" t="s">
        <v>92</v>
      </c>
      <c r="D237" s="1" t="s">
        <v>30</v>
      </c>
      <c r="E237" s="1" t="s">
        <v>105</v>
      </c>
      <c r="F237" s="1" t="s">
        <v>83</v>
      </c>
      <c r="G237" s="2">
        <v>43938</v>
      </c>
      <c r="H237" s="9">
        <v>0.92</v>
      </c>
      <c r="I237" s="2">
        <v>38808</v>
      </c>
      <c r="J237" s="2">
        <v>44470</v>
      </c>
      <c r="K237" s="5">
        <v>14</v>
      </c>
      <c r="L237" s="1" t="s">
        <v>56</v>
      </c>
      <c r="M237" s="1" t="s">
        <v>370</v>
      </c>
      <c r="N237" s="1" t="s">
        <v>392</v>
      </c>
      <c r="O237" s="1" t="s">
        <v>392</v>
      </c>
      <c r="P237" s="1" t="s">
        <v>395</v>
      </c>
      <c r="Q237">
        <v>0.90007400000000004</v>
      </c>
      <c r="R237">
        <v>0.64760399999999996</v>
      </c>
      <c r="S237" s="16">
        <v>8.0067810000000001</v>
      </c>
      <c r="T237" s="14">
        <v>1318711991</v>
      </c>
      <c r="U237" s="13">
        <f t="shared" si="7"/>
        <v>0.48037242615351144</v>
      </c>
    </row>
    <row r="238" spans="1:21" x14ac:dyDescent="0.2">
      <c r="A238" s="1" t="s">
        <v>365</v>
      </c>
      <c r="B238" s="1" t="s">
        <v>82</v>
      </c>
      <c r="C238" s="1" t="s">
        <v>92</v>
      </c>
      <c r="D238" s="1" t="s">
        <v>30</v>
      </c>
      <c r="E238" s="1" t="s">
        <v>105</v>
      </c>
      <c r="F238" s="1" t="s">
        <v>83</v>
      </c>
      <c r="G238" s="2">
        <v>43938</v>
      </c>
      <c r="H238" s="9">
        <v>0.92</v>
      </c>
      <c r="I238" s="2">
        <v>38808</v>
      </c>
      <c r="J238" s="2">
        <v>44470</v>
      </c>
      <c r="K238" s="5">
        <v>14</v>
      </c>
      <c r="L238" s="1" t="s">
        <v>56</v>
      </c>
      <c r="M238" s="1" t="s">
        <v>370</v>
      </c>
      <c r="N238" s="1" t="s">
        <v>392</v>
      </c>
      <c r="O238" s="1" t="s">
        <v>392</v>
      </c>
      <c r="P238" s="1" t="s">
        <v>395</v>
      </c>
      <c r="Q238">
        <v>0.904914</v>
      </c>
      <c r="R238">
        <v>0.69491700000000001</v>
      </c>
      <c r="S238" s="16">
        <v>8.9634719999999994</v>
      </c>
      <c r="T238" s="14">
        <v>1499602707</v>
      </c>
      <c r="U238" s="13">
        <f>T238/2745186691</f>
        <v>0.54626620182750985</v>
      </c>
    </row>
    <row r="239" spans="1:21" x14ac:dyDescent="0.2">
      <c r="A239" s="1" t="s">
        <v>366</v>
      </c>
      <c r="B239" s="1" t="s">
        <v>82</v>
      </c>
      <c r="C239" s="1" t="s">
        <v>92</v>
      </c>
      <c r="D239" s="1" t="s">
        <v>30</v>
      </c>
      <c r="E239" s="1" t="s">
        <v>105</v>
      </c>
      <c r="F239" s="1" t="s">
        <v>83</v>
      </c>
      <c r="G239" s="2">
        <v>43938</v>
      </c>
      <c r="H239" s="9">
        <v>0.92</v>
      </c>
      <c r="I239" s="2">
        <v>38808</v>
      </c>
      <c r="J239" s="2">
        <v>44470</v>
      </c>
      <c r="K239" s="5">
        <v>14</v>
      </c>
      <c r="L239" s="1" t="s">
        <v>56</v>
      </c>
      <c r="M239" s="1" t="s">
        <v>370</v>
      </c>
      <c r="N239" s="1" t="s">
        <v>391</v>
      </c>
      <c r="O239" s="1" t="s">
        <v>391</v>
      </c>
      <c r="P239" s="1" t="s">
        <v>395</v>
      </c>
      <c r="Q239">
        <v>0.939307</v>
      </c>
      <c r="R239">
        <v>0.76456500000000005</v>
      </c>
      <c r="S239" s="16">
        <v>10.58568</v>
      </c>
      <c r="T239" s="14">
        <v>1739156010</v>
      </c>
      <c r="U239" s="13">
        <f t="shared" ref="U239:U261" si="8">T239/2745186691</f>
        <v>0.63352922979765391</v>
      </c>
    </row>
    <row r="240" spans="1:21" x14ac:dyDescent="0.2">
      <c r="A240" s="1" t="s">
        <v>367</v>
      </c>
      <c r="B240" s="1" t="s">
        <v>82</v>
      </c>
      <c r="C240" s="1" t="s">
        <v>92</v>
      </c>
      <c r="D240" s="1" t="s">
        <v>30</v>
      </c>
      <c r="E240" s="1" t="s">
        <v>105</v>
      </c>
      <c r="F240" s="1" t="s">
        <v>83</v>
      </c>
      <c r="G240" s="2">
        <v>43938</v>
      </c>
      <c r="H240" s="9">
        <v>0.92</v>
      </c>
      <c r="I240" s="2">
        <v>38808</v>
      </c>
      <c r="J240" s="2">
        <v>44470</v>
      </c>
      <c r="K240" s="5">
        <v>14</v>
      </c>
      <c r="L240" s="1" t="s">
        <v>56</v>
      </c>
      <c r="M240" s="1" t="s">
        <v>370</v>
      </c>
      <c r="N240" s="1" t="s">
        <v>392</v>
      </c>
      <c r="O240" s="1" t="s">
        <v>392</v>
      </c>
      <c r="P240" s="1" t="s">
        <v>395</v>
      </c>
      <c r="Q240">
        <v>0.94738199999999995</v>
      </c>
      <c r="R240">
        <v>0.88445300000000004</v>
      </c>
      <c r="S240" s="16">
        <v>24.572139</v>
      </c>
      <c r="T240" s="14">
        <v>2286507578</v>
      </c>
      <c r="U240" s="13">
        <f t="shared" si="8"/>
        <v>0.83291514762775021</v>
      </c>
    </row>
    <row r="241" spans="1:21" x14ac:dyDescent="0.2">
      <c r="A241" s="1" t="s">
        <v>368</v>
      </c>
      <c r="B241" s="1" t="s">
        <v>82</v>
      </c>
      <c r="C241" s="1" t="s">
        <v>92</v>
      </c>
      <c r="D241" s="1" t="s">
        <v>30</v>
      </c>
      <c r="E241" s="1" t="s">
        <v>105</v>
      </c>
      <c r="F241" s="1" t="s">
        <v>83</v>
      </c>
      <c r="G241" s="2">
        <v>43938</v>
      </c>
      <c r="H241" s="9">
        <v>0.92</v>
      </c>
      <c r="I241" s="2">
        <v>38808</v>
      </c>
      <c r="J241" s="2">
        <v>44470</v>
      </c>
      <c r="K241" s="5">
        <v>14</v>
      </c>
      <c r="L241" s="1" t="s">
        <v>56</v>
      </c>
      <c r="M241" s="1" t="s">
        <v>370</v>
      </c>
      <c r="N241" s="1" t="s">
        <v>390</v>
      </c>
      <c r="O241" s="1" t="s">
        <v>390</v>
      </c>
      <c r="P241" s="1" t="s">
        <v>395</v>
      </c>
      <c r="Q241">
        <v>0.95097100000000001</v>
      </c>
      <c r="R241">
        <v>0.75687800000000005</v>
      </c>
      <c r="S241" s="16">
        <v>9.0070270000000008</v>
      </c>
      <c r="T241" s="14">
        <v>1608950839</v>
      </c>
      <c r="U241" s="13">
        <f t="shared" si="8"/>
        <v>0.58609887781945391</v>
      </c>
    </row>
    <row r="242" spans="1:21" ht="17" customHeight="1" x14ac:dyDescent="0.2">
      <c r="A242" s="1" t="s">
        <v>369</v>
      </c>
      <c r="B242" s="1" t="s">
        <v>82</v>
      </c>
      <c r="C242" s="1" t="s">
        <v>92</v>
      </c>
      <c r="D242" s="1" t="s">
        <v>30</v>
      </c>
      <c r="E242" s="1" t="s">
        <v>105</v>
      </c>
      <c r="F242" s="1" t="s">
        <v>83</v>
      </c>
      <c r="G242" s="2">
        <v>43938</v>
      </c>
      <c r="H242" s="9">
        <v>0.92</v>
      </c>
      <c r="I242" s="2">
        <v>38808</v>
      </c>
      <c r="J242" s="2">
        <v>44470</v>
      </c>
      <c r="K242" s="5">
        <v>14</v>
      </c>
      <c r="L242" s="1" t="s">
        <v>56</v>
      </c>
      <c r="M242" s="1" t="s">
        <v>370</v>
      </c>
      <c r="N242" s="1" t="s">
        <v>392</v>
      </c>
      <c r="O242" s="1" t="s">
        <v>392</v>
      </c>
      <c r="P242" s="1" t="s">
        <v>395</v>
      </c>
      <c r="Q242">
        <v>0.89761299999999999</v>
      </c>
      <c r="R242">
        <v>0.73056399999999999</v>
      </c>
      <c r="S242" s="16">
        <v>11.459695999999999</v>
      </c>
      <c r="T242" s="14">
        <v>1688812152</v>
      </c>
      <c r="U242" s="13">
        <f t="shared" si="8"/>
        <v>0.61519027377508151</v>
      </c>
    </row>
    <row r="243" spans="1:21" x14ac:dyDescent="0.2">
      <c r="A243" s="1" t="s">
        <v>58</v>
      </c>
      <c r="B243" s="1" t="s">
        <v>82</v>
      </c>
      <c r="C243" s="1" t="s">
        <v>92</v>
      </c>
      <c r="D243" s="1" t="s">
        <v>30</v>
      </c>
      <c r="E243" s="1" t="s">
        <v>99</v>
      </c>
      <c r="F243" s="1" t="s">
        <v>32</v>
      </c>
      <c r="G243" s="2">
        <v>44183</v>
      </c>
      <c r="H243" s="9">
        <v>0.9</v>
      </c>
      <c r="I243" s="2">
        <v>38808</v>
      </c>
      <c r="J243" s="2">
        <v>44470</v>
      </c>
      <c r="K243" s="5">
        <v>14.7</v>
      </c>
      <c r="L243" s="1" t="s">
        <v>56</v>
      </c>
      <c r="M243" s="1" t="s">
        <v>370</v>
      </c>
      <c r="N243" s="1" t="s">
        <v>391</v>
      </c>
      <c r="O243" s="1" t="s">
        <v>391</v>
      </c>
      <c r="P243" s="1" t="s">
        <v>396</v>
      </c>
      <c r="Q243">
        <v>0.97046500000000002</v>
      </c>
      <c r="R243">
        <v>0.91865699999999995</v>
      </c>
      <c r="S243" s="16">
        <v>22.049586999999999</v>
      </c>
      <c r="T243" s="14">
        <v>2336493955</v>
      </c>
      <c r="U243" s="13">
        <f t="shared" si="8"/>
        <v>0.85112388263432681</v>
      </c>
    </row>
    <row r="244" spans="1:21" x14ac:dyDescent="0.2">
      <c r="A244" s="1" t="s">
        <v>59</v>
      </c>
      <c r="B244" s="1" t="s">
        <v>82</v>
      </c>
      <c r="C244" s="1" t="s">
        <v>92</v>
      </c>
      <c r="D244" s="1" t="s">
        <v>30</v>
      </c>
      <c r="E244" s="1" t="s">
        <v>99</v>
      </c>
      <c r="F244" s="1" t="s">
        <v>32</v>
      </c>
      <c r="G244" s="2">
        <v>44183</v>
      </c>
      <c r="H244" s="9">
        <v>0.9</v>
      </c>
      <c r="I244" s="2">
        <v>38808</v>
      </c>
      <c r="J244" s="2">
        <v>44470</v>
      </c>
      <c r="K244" s="5">
        <v>14.7</v>
      </c>
      <c r="L244" s="1" t="s">
        <v>56</v>
      </c>
      <c r="M244" s="1" t="s">
        <v>370</v>
      </c>
      <c r="N244" s="1" t="s">
        <v>391</v>
      </c>
      <c r="O244" s="1" t="s">
        <v>391</v>
      </c>
      <c r="P244" s="1" t="s">
        <v>396</v>
      </c>
      <c r="Q244">
        <v>0.96103400000000005</v>
      </c>
      <c r="R244">
        <v>0.87395500000000004</v>
      </c>
      <c r="S244" s="16">
        <v>16.68796</v>
      </c>
      <c r="T244" s="14">
        <v>2135158011</v>
      </c>
      <c r="U244" s="13">
        <f t="shared" si="8"/>
        <v>0.7777824429937833</v>
      </c>
    </row>
    <row r="245" spans="1:21" x14ac:dyDescent="0.2">
      <c r="A245" s="1" t="s">
        <v>60</v>
      </c>
      <c r="B245" s="1" t="s">
        <v>82</v>
      </c>
      <c r="C245" s="1" t="s">
        <v>92</v>
      </c>
      <c r="D245" s="1" t="s">
        <v>30</v>
      </c>
      <c r="E245" s="1" t="s">
        <v>99</v>
      </c>
      <c r="F245" s="1" t="s">
        <v>32</v>
      </c>
      <c r="G245" s="2">
        <v>44183</v>
      </c>
      <c r="H245" s="9">
        <v>0.9</v>
      </c>
      <c r="I245" s="2">
        <v>38808</v>
      </c>
      <c r="J245" s="2">
        <v>44470</v>
      </c>
      <c r="K245" s="5">
        <v>14.7</v>
      </c>
      <c r="L245" s="1" t="s">
        <v>56</v>
      </c>
      <c r="M245" s="1" t="s">
        <v>370</v>
      </c>
      <c r="N245" s="1" t="s">
        <v>390</v>
      </c>
      <c r="O245" s="1" t="s">
        <v>390</v>
      </c>
      <c r="P245" s="1" t="s">
        <v>396</v>
      </c>
      <c r="Q245">
        <v>0.97346299999999997</v>
      </c>
      <c r="R245">
        <v>0.93023500000000003</v>
      </c>
      <c r="S245" s="16">
        <v>17.728135999999999</v>
      </c>
      <c r="T245" s="14">
        <v>2352933740</v>
      </c>
      <c r="U245" s="13">
        <f t="shared" si="8"/>
        <v>0.85711246805691288</v>
      </c>
    </row>
    <row r="246" spans="1:21" x14ac:dyDescent="0.2">
      <c r="A246" s="1" t="s">
        <v>61</v>
      </c>
      <c r="B246" s="1" t="s">
        <v>82</v>
      </c>
      <c r="C246" s="1" t="s">
        <v>92</v>
      </c>
      <c r="D246" s="1" t="s">
        <v>30</v>
      </c>
      <c r="E246" s="1" t="s">
        <v>99</v>
      </c>
      <c r="F246" s="1" t="s">
        <v>32</v>
      </c>
      <c r="G246" s="2">
        <v>44183</v>
      </c>
      <c r="H246" s="9">
        <v>0.9</v>
      </c>
      <c r="I246" s="2">
        <v>38808</v>
      </c>
      <c r="J246" s="2">
        <v>44470</v>
      </c>
      <c r="K246" s="5">
        <v>14.7</v>
      </c>
      <c r="L246" s="1" t="s">
        <v>56</v>
      </c>
      <c r="M246" s="1" t="s">
        <v>370</v>
      </c>
      <c r="N246" s="1" t="s">
        <v>390</v>
      </c>
      <c r="O246" s="1" t="s">
        <v>390</v>
      </c>
      <c r="P246" s="7" t="s">
        <v>396</v>
      </c>
      <c r="Q246">
        <v>0.96896300000000002</v>
      </c>
      <c r="R246">
        <v>0.898065</v>
      </c>
      <c r="S246" s="16">
        <v>17.060361</v>
      </c>
      <c r="T246" s="14">
        <v>2212990732</v>
      </c>
      <c r="U246" s="13">
        <f t="shared" si="8"/>
        <v>0.8061348757282023</v>
      </c>
    </row>
    <row r="247" spans="1:21" x14ac:dyDescent="0.2">
      <c r="A247" s="1" t="s">
        <v>62</v>
      </c>
      <c r="B247" s="1" t="s">
        <v>82</v>
      </c>
      <c r="C247" s="1" t="s">
        <v>92</v>
      </c>
      <c r="D247" s="1" t="s">
        <v>30</v>
      </c>
      <c r="E247" s="1" t="s">
        <v>99</v>
      </c>
      <c r="F247" s="1" t="s">
        <v>32</v>
      </c>
      <c r="G247" s="2">
        <v>44183</v>
      </c>
      <c r="H247" s="9">
        <v>0.9</v>
      </c>
      <c r="I247" s="2">
        <v>38808</v>
      </c>
      <c r="J247" s="2">
        <v>44470</v>
      </c>
      <c r="K247" s="5">
        <v>14.7</v>
      </c>
      <c r="L247" s="1" t="s">
        <v>56</v>
      </c>
      <c r="M247" s="1" t="s">
        <v>370</v>
      </c>
      <c r="N247" s="1" t="s">
        <v>390</v>
      </c>
      <c r="O247" s="1" t="s">
        <v>390</v>
      </c>
      <c r="P247" s="7" t="s">
        <v>396</v>
      </c>
      <c r="Q247">
        <v>0.96991799999999995</v>
      </c>
      <c r="R247">
        <v>0.90820900000000004</v>
      </c>
      <c r="S247" s="16">
        <v>17.526335</v>
      </c>
      <c r="T247" s="14">
        <v>2264330254</v>
      </c>
      <c r="U247" s="13">
        <f t="shared" si="8"/>
        <v>0.82483652620913861</v>
      </c>
    </row>
    <row r="248" spans="1:21" x14ac:dyDescent="0.2">
      <c r="A248" s="1" t="s">
        <v>63</v>
      </c>
      <c r="B248" s="1" t="s">
        <v>82</v>
      </c>
      <c r="C248" s="1" t="s">
        <v>92</v>
      </c>
      <c r="D248" s="1" t="s">
        <v>30</v>
      </c>
      <c r="E248" s="1" t="s">
        <v>99</v>
      </c>
      <c r="F248" s="1" t="s">
        <v>32</v>
      </c>
      <c r="G248" s="2">
        <v>44183</v>
      </c>
      <c r="H248" s="9">
        <v>0.9</v>
      </c>
      <c r="I248" s="2">
        <v>38808</v>
      </c>
      <c r="J248" s="2">
        <v>44470</v>
      </c>
      <c r="K248" s="5">
        <v>14.7</v>
      </c>
      <c r="L248" s="1" t="s">
        <v>56</v>
      </c>
      <c r="M248" s="1" t="s">
        <v>370</v>
      </c>
      <c r="N248" s="1" t="s">
        <v>391</v>
      </c>
      <c r="O248" s="1" t="s">
        <v>391</v>
      </c>
      <c r="P248" s="7" t="s">
        <v>396</v>
      </c>
      <c r="Q248">
        <v>0.96834500000000001</v>
      </c>
      <c r="R248">
        <v>0.90391699999999997</v>
      </c>
      <c r="S248" s="16">
        <v>18.282499999999999</v>
      </c>
      <c r="T248" s="14">
        <v>2254105304</v>
      </c>
      <c r="U248" s="13">
        <f t="shared" si="8"/>
        <v>0.82111184328191833</v>
      </c>
    </row>
    <row r="249" spans="1:21" x14ac:dyDescent="0.2">
      <c r="A249" s="1" t="s">
        <v>64</v>
      </c>
      <c r="B249" s="1" t="s">
        <v>82</v>
      </c>
      <c r="C249" s="1" t="s">
        <v>92</v>
      </c>
      <c r="D249" s="1" t="s">
        <v>30</v>
      </c>
      <c r="E249" s="1" t="s">
        <v>99</v>
      </c>
      <c r="F249" s="1" t="s">
        <v>32</v>
      </c>
      <c r="G249" s="2">
        <v>44183</v>
      </c>
      <c r="H249" s="9">
        <v>0.9</v>
      </c>
      <c r="I249" s="2">
        <v>38808</v>
      </c>
      <c r="J249" s="2">
        <v>44470</v>
      </c>
      <c r="K249" s="5">
        <v>14.7</v>
      </c>
      <c r="L249" s="1" t="s">
        <v>56</v>
      </c>
      <c r="M249" s="1" t="s">
        <v>370</v>
      </c>
      <c r="N249" s="1" t="s">
        <v>390</v>
      </c>
      <c r="O249" s="1" t="s">
        <v>390</v>
      </c>
      <c r="P249" s="1" t="s">
        <v>396</v>
      </c>
      <c r="Q249">
        <v>0.97102699999999997</v>
      </c>
      <c r="R249">
        <v>0.91483899999999996</v>
      </c>
      <c r="S249" s="16">
        <v>18.133793000000001</v>
      </c>
      <c r="T249" s="14">
        <v>2294595372</v>
      </c>
      <c r="U249" s="13">
        <f t="shared" si="8"/>
        <v>0.83586132029663118</v>
      </c>
    </row>
    <row r="250" spans="1:21" x14ac:dyDescent="0.2">
      <c r="A250" s="1" t="s">
        <v>65</v>
      </c>
      <c r="B250" s="1" t="s">
        <v>82</v>
      </c>
      <c r="C250" s="1" t="s">
        <v>92</v>
      </c>
      <c r="D250" s="1" t="s">
        <v>30</v>
      </c>
      <c r="E250" s="1" t="s">
        <v>99</v>
      </c>
      <c r="F250" s="1" t="s">
        <v>32</v>
      </c>
      <c r="G250" s="2">
        <v>44183</v>
      </c>
      <c r="H250" s="9">
        <v>0.9</v>
      </c>
      <c r="I250" s="2">
        <v>38808</v>
      </c>
      <c r="J250" s="2">
        <v>44470</v>
      </c>
      <c r="K250" s="5">
        <v>14.7</v>
      </c>
      <c r="L250" s="1" t="s">
        <v>56</v>
      </c>
      <c r="M250" s="1" t="s">
        <v>370</v>
      </c>
      <c r="N250" s="1" t="s">
        <v>390</v>
      </c>
      <c r="O250" s="1" t="s">
        <v>390</v>
      </c>
      <c r="P250" s="7" t="s">
        <v>396</v>
      </c>
      <c r="Q250">
        <v>0.97300399999999998</v>
      </c>
      <c r="R250">
        <v>0.93410000000000004</v>
      </c>
      <c r="S250" s="16">
        <v>23.246811000000001</v>
      </c>
      <c r="T250" s="14">
        <v>2407613352</v>
      </c>
      <c r="U250" s="13">
        <f t="shared" si="8"/>
        <v>0.87703082631621287</v>
      </c>
    </row>
    <row r="251" spans="1:21" x14ac:dyDescent="0.2">
      <c r="A251" s="1" t="s">
        <v>66</v>
      </c>
      <c r="B251" s="1" t="s">
        <v>82</v>
      </c>
      <c r="C251" s="1" t="s">
        <v>92</v>
      </c>
      <c r="D251" s="1" t="s">
        <v>30</v>
      </c>
      <c r="E251" s="1" t="s">
        <v>99</v>
      </c>
      <c r="F251" s="1" t="s">
        <v>32</v>
      </c>
      <c r="G251" s="2">
        <v>44183</v>
      </c>
      <c r="H251" s="9">
        <v>0.9</v>
      </c>
      <c r="I251" s="2">
        <v>38808</v>
      </c>
      <c r="J251" s="2">
        <v>44470</v>
      </c>
      <c r="K251" s="5">
        <v>14.7</v>
      </c>
      <c r="L251" s="1" t="s">
        <v>56</v>
      </c>
      <c r="M251" s="1" t="s">
        <v>370</v>
      </c>
      <c r="N251" s="1" t="s">
        <v>391</v>
      </c>
      <c r="O251" s="1" t="s">
        <v>391</v>
      </c>
      <c r="P251" s="7" t="s">
        <v>396</v>
      </c>
      <c r="Q251">
        <v>0.96191199999999999</v>
      </c>
      <c r="R251">
        <v>0.88214800000000004</v>
      </c>
      <c r="S251" s="16">
        <v>17.168346</v>
      </c>
      <c r="T251" s="14">
        <v>2163373885</v>
      </c>
      <c r="U251" s="13">
        <f t="shared" si="8"/>
        <v>0.78806075087444749</v>
      </c>
    </row>
    <row r="252" spans="1:21" x14ac:dyDescent="0.2">
      <c r="A252" s="1" t="s">
        <v>67</v>
      </c>
      <c r="B252" s="1" t="s">
        <v>82</v>
      </c>
      <c r="C252" s="1" t="s">
        <v>92</v>
      </c>
      <c r="D252" s="1" t="s">
        <v>30</v>
      </c>
      <c r="E252" s="1" t="s">
        <v>99</v>
      </c>
      <c r="F252" s="1" t="s">
        <v>32</v>
      </c>
      <c r="G252" s="2">
        <v>44183</v>
      </c>
      <c r="H252" s="9">
        <v>0.9</v>
      </c>
      <c r="I252" s="2">
        <v>38808</v>
      </c>
      <c r="J252" s="2">
        <v>44470</v>
      </c>
      <c r="K252" s="5">
        <v>14.7</v>
      </c>
      <c r="L252" s="1" t="s">
        <v>56</v>
      </c>
      <c r="M252" s="1" t="s">
        <v>370</v>
      </c>
      <c r="N252" s="1" t="s">
        <v>391</v>
      </c>
      <c r="O252" s="1" t="s">
        <v>391</v>
      </c>
      <c r="P252" s="7" t="s">
        <v>396</v>
      </c>
      <c r="Q252">
        <v>0.95659400000000006</v>
      </c>
      <c r="R252">
        <v>0.87945499999999999</v>
      </c>
      <c r="S252" s="16">
        <v>22.387326999999999</v>
      </c>
      <c r="T252" s="14">
        <v>2213386194</v>
      </c>
      <c r="U252" s="13">
        <f t="shared" si="8"/>
        <v>0.8062789322331011</v>
      </c>
    </row>
    <row r="253" spans="1:21" x14ac:dyDescent="0.2">
      <c r="A253" s="1" t="s">
        <v>68</v>
      </c>
      <c r="B253" s="1" t="s">
        <v>82</v>
      </c>
      <c r="C253" s="1" t="s">
        <v>92</v>
      </c>
      <c r="D253" s="1" t="s">
        <v>30</v>
      </c>
      <c r="E253" s="1" t="s">
        <v>99</v>
      </c>
      <c r="F253" s="1" t="s">
        <v>32</v>
      </c>
      <c r="G253" s="2">
        <v>44183</v>
      </c>
      <c r="H253" s="9">
        <v>0.9</v>
      </c>
      <c r="I253" s="2">
        <v>38808</v>
      </c>
      <c r="J253" s="2">
        <v>44470</v>
      </c>
      <c r="K253" s="5">
        <v>14.7</v>
      </c>
      <c r="L253" s="1" t="s">
        <v>56</v>
      </c>
      <c r="M253" s="1" t="s">
        <v>370</v>
      </c>
      <c r="N253" s="1" t="s">
        <v>391</v>
      </c>
      <c r="O253" s="1" t="s">
        <v>391</v>
      </c>
      <c r="P253" s="7" t="s">
        <v>396</v>
      </c>
      <c r="Q253">
        <v>0.969858</v>
      </c>
      <c r="R253">
        <v>0.91392300000000004</v>
      </c>
      <c r="S253" s="16">
        <v>21.239939</v>
      </c>
      <c r="T253" s="14">
        <v>2309351750</v>
      </c>
      <c r="U253" s="13">
        <f t="shared" si="8"/>
        <v>0.84123668440151267</v>
      </c>
    </row>
    <row r="254" spans="1:21" x14ac:dyDescent="0.2">
      <c r="A254" s="1" t="s">
        <v>69</v>
      </c>
      <c r="B254" s="1" t="s">
        <v>82</v>
      </c>
      <c r="C254" s="1" t="s">
        <v>92</v>
      </c>
      <c r="D254" s="1" t="s">
        <v>30</v>
      </c>
      <c r="E254" s="1" t="s">
        <v>99</v>
      </c>
      <c r="F254" s="1" t="s">
        <v>32</v>
      </c>
      <c r="G254" s="2">
        <v>44183</v>
      </c>
      <c r="H254" s="9">
        <v>0.9</v>
      </c>
      <c r="I254" s="2">
        <v>38808</v>
      </c>
      <c r="J254" s="2">
        <v>44470</v>
      </c>
      <c r="K254" s="5">
        <v>14.7</v>
      </c>
      <c r="L254" s="1" t="s">
        <v>56</v>
      </c>
      <c r="M254" s="1" t="s">
        <v>370</v>
      </c>
      <c r="N254" s="1" t="s">
        <v>392</v>
      </c>
      <c r="O254" s="1" t="s">
        <v>392</v>
      </c>
      <c r="P254" s="7" t="s">
        <v>396</v>
      </c>
      <c r="Q254">
        <v>0.95262400000000003</v>
      </c>
      <c r="R254">
        <v>0.84625600000000001</v>
      </c>
      <c r="S254" s="16">
        <v>16.906891000000002</v>
      </c>
      <c r="T254" s="14">
        <v>2063669340</v>
      </c>
      <c r="U254" s="13">
        <f t="shared" si="8"/>
        <v>0.75174098241320664</v>
      </c>
    </row>
    <row r="255" spans="1:21" x14ac:dyDescent="0.2">
      <c r="A255" s="1" t="s">
        <v>84</v>
      </c>
      <c r="B255" s="1" t="s">
        <v>82</v>
      </c>
      <c r="C255" s="1" t="s">
        <v>92</v>
      </c>
      <c r="D255" s="1" t="s">
        <v>30</v>
      </c>
      <c r="E255" s="1" t="s">
        <v>99</v>
      </c>
      <c r="F255" s="1" t="s">
        <v>32</v>
      </c>
      <c r="G255" s="2">
        <v>44183</v>
      </c>
      <c r="H255" s="9">
        <v>0.9</v>
      </c>
      <c r="I255" s="2">
        <v>38808</v>
      </c>
      <c r="J255" s="2">
        <v>44470</v>
      </c>
      <c r="K255" s="5">
        <v>14.7</v>
      </c>
      <c r="L255" s="1" t="s">
        <v>56</v>
      </c>
      <c r="M255" s="1" t="s">
        <v>386</v>
      </c>
      <c r="N255" s="1" t="s">
        <v>55</v>
      </c>
      <c r="O255" s="1" t="s">
        <v>55</v>
      </c>
      <c r="P255" s="7" t="s">
        <v>396</v>
      </c>
      <c r="Q255">
        <v>0.97805299999999995</v>
      </c>
      <c r="R255">
        <v>0.97205900000000001</v>
      </c>
      <c r="S255" s="16">
        <v>30.163708</v>
      </c>
      <c r="T255" s="14" t="s">
        <v>55</v>
      </c>
      <c r="U255" s="13" t="e">
        <f t="shared" si="8"/>
        <v>#VALUE!</v>
      </c>
    </row>
    <row r="256" spans="1:21" x14ac:dyDescent="0.2">
      <c r="A256" s="1" t="s">
        <v>85</v>
      </c>
      <c r="B256" s="1" t="s">
        <v>82</v>
      </c>
      <c r="C256" s="1" t="s">
        <v>92</v>
      </c>
      <c r="D256" s="1" t="s">
        <v>30</v>
      </c>
      <c r="E256" s="1" t="s">
        <v>99</v>
      </c>
      <c r="F256" s="1" t="s">
        <v>32</v>
      </c>
      <c r="G256" s="2">
        <v>44183</v>
      </c>
      <c r="H256" s="9">
        <v>0.9</v>
      </c>
      <c r="I256" s="2">
        <v>38808</v>
      </c>
      <c r="J256" s="2">
        <v>44470</v>
      </c>
      <c r="K256" s="5">
        <v>14.7</v>
      </c>
      <c r="L256" s="1" t="s">
        <v>56</v>
      </c>
      <c r="M256" s="1" t="s">
        <v>387</v>
      </c>
      <c r="N256" s="1" t="s">
        <v>394</v>
      </c>
      <c r="O256" s="1" t="s">
        <v>55</v>
      </c>
      <c r="P256" s="1" t="s">
        <v>395</v>
      </c>
      <c r="Q256">
        <v>0.97805299999999995</v>
      </c>
      <c r="R256">
        <v>0.97205900000000001</v>
      </c>
      <c r="S256" s="16">
        <v>30.163708</v>
      </c>
      <c r="T256" s="14" t="s">
        <v>55</v>
      </c>
      <c r="U256" s="13" t="e">
        <f t="shared" si="8"/>
        <v>#VALUE!</v>
      </c>
    </row>
    <row r="257" spans="1:21" x14ac:dyDescent="0.2">
      <c r="A257" s="1" t="s">
        <v>350</v>
      </c>
      <c r="B257" s="1" t="s">
        <v>82</v>
      </c>
      <c r="C257" s="1" t="s">
        <v>92</v>
      </c>
      <c r="D257" s="1" t="s">
        <v>30</v>
      </c>
      <c r="E257" s="1" t="s">
        <v>105</v>
      </c>
      <c r="F257" s="1" t="s">
        <v>32</v>
      </c>
      <c r="G257" s="2">
        <v>44183</v>
      </c>
      <c r="H257" s="9">
        <v>0.9</v>
      </c>
      <c r="I257" s="2">
        <v>38808</v>
      </c>
      <c r="J257" s="2">
        <v>44470</v>
      </c>
      <c r="K257" s="5">
        <v>14.7</v>
      </c>
      <c r="L257" s="1" t="s">
        <v>56</v>
      </c>
      <c r="M257" s="1" t="s">
        <v>370</v>
      </c>
      <c r="N257" s="1" t="s">
        <v>390</v>
      </c>
      <c r="O257" s="1" t="s">
        <v>390</v>
      </c>
      <c r="P257" s="7" t="s">
        <v>396</v>
      </c>
      <c r="Q257">
        <v>0.95584100000000005</v>
      </c>
      <c r="R257">
        <v>0.76261999999999996</v>
      </c>
      <c r="S257" s="16">
        <v>8.9852270000000001</v>
      </c>
      <c r="T257" s="14">
        <v>1541526462</v>
      </c>
      <c r="U257" s="13">
        <f t="shared" si="8"/>
        <v>0.56153793366908034</v>
      </c>
    </row>
    <row r="258" spans="1:21" x14ac:dyDescent="0.2">
      <c r="A258" s="1" t="s">
        <v>351</v>
      </c>
      <c r="B258" s="1" t="s">
        <v>82</v>
      </c>
      <c r="C258" s="1" t="s">
        <v>92</v>
      </c>
      <c r="D258" s="1" t="s">
        <v>30</v>
      </c>
      <c r="E258" s="1" t="s">
        <v>105</v>
      </c>
      <c r="F258" s="1" t="s">
        <v>32</v>
      </c>
      <c r="G258" s="2">
        <v>44183</v>
      </c>
      <c r="H258" s="9">
        <v>0.9</v>
      </c>
      <c r="I258" s="2">
        <v>38808</v>
      </c>
      <c r="J258" s="2">
        <v>44470</v>
      </c>
      <c r="K258" s="5">
        <v>14.7</v>
      </c>
      <c r="L258" s="1" t="s">
        <v>56</v>
      </c>
      <c r="M258" s="1" t="s">
        <v>370</v>
      </c>
      <c r="N258" s="1" t="s">
        <v>390</v>
      </c>
      <c r="O258" s="1" t="s">
        <v>390</v>
      </c>
      <c r="P258" s="7" t="s">
        <v>396</v>
      </c>
      <c r="Q258">
        <v>0.947299</v>
      </c>
      <c r="R258">
        <v>0.69202900000000001</v>
      </c>
      <c r="S258" s="16">
        <v>7.6061680000000003</v>
      </c>
      <c r="T258" s="14">
        <v>1262504338</v>
      </c>
      <c r="U258" s="13">
        <f t="shared" si="8"/>
        <v>0.45989744236305569</v>
      </c>
    </row>
    <row r="259" spans="1:21" x14ac:dyDescent="0.2">
      <c r="A259" s="1" t="s">
        <v>352</v>
      </c>
      <c r="B259" s="1" t="s">
        <v>82</v>
      </c>
      <c r="C259" s="1" t="s">
        <v>92</v>
      </c>
      <c r="D259" s="1" t="s">
        <v>30</v>
      </c>
      <c r="E259" s="1" t="s">
        <v>105</v>
      </c>
      <c r="F259" s="1" t="s">
        <v>32</v>
      </c>
      <c r="G259" s="2">
        <v>44183</v>
      </c>
      <c r="H259" s="9">
        <v>0.9</v>
      </c>
      <c r="I259" s="2">
        <v>38808</v>
      </c>
      <c r="J259" s="2">
        <v>44470</v>
      </c>
      <c r="K259" s="5">
        <v>14.7</v>
      </c>
      <c r="L259" s="1" t="s">
        <v>56</v>
      </c>
      <c r="M259" s="1" t="s">
        <v>370</v>
      </c>
      <c r="N259" s="1" t="s">
        <v>391</v>
      </c>
      <c r="O259" s="1" t="s">
        <v>391</v>
      </c>
      <c r="P259" s="7" t="s">
        <v>396</v>
      </c>
      <c r="Q259">
        <v>0.95092900000000002</v>
      </c>
      <c r="R259">
        <v>0.76723399999999997</v>
      </c>
      <c r="S259" s="16">
        <v>10.018302</v>
      </c>
      <c r="T259" s="14">
        <v>1650869775</v>
      </c>
      <c r="U259" s="13">
        <f t="shared" si="8"/>
        <v>0.60136885422485831</v>
      </c>
    </row>
    <row r="260" spans="1:21" x14ac:dyDescent="0.2">
      <c r="A260" s="1" t="s">
        <v>353</v>
      </c>
      <c r="B260" s="1" t="s">
        <v>82</v>
      </c>
      <c r="C260" s="1" t="s">
        <v>92</v>
      </c>
      <c r="D260" s="1" t="s">
        <v>30</v>
      </c>
      <c r="E260" s="1" t="s">
        <v>105</v>
      </c>
      <c r="F260" s="1" t="s">
        <v>32</v>
      </c>
      <c r="G260" s="2">
        <v>44183</v>
      </c>
      <c r="H260" s="9">
        <v>0.9</v>
      </c>
      <c r="I260" s="2">
        <v>38808</v>
      </c>
      <c r="J260" s="2">
        <v>44470</v>
      </c>
      <c r="K260" s="5">
        <v>14.7</v>
      </c>
      <c r="L260" s="1" t="s">
        <v>56</v>
      </c>
      <c r="M260" s="1" t="s">
        <v>370</v>
      </c>
      <c r="N260" s="1" t="s">
        <v>390</v>
      </c>
      <c r="O260" s="1" t="s">
        <v>390</v>
      </c>
      <c r="P260" s="1" t="s">
        <v>396</v>
      </c>
      <c r="Q260">
        <v>0.96204000000000001</v>
      </c>
      <c r="R260">
        <v>0.83332399999999995</v>
      </c>
      <c r="S260" s="16">
        <v>11.199862</v>
      </c>
      <c r="T260" s="14">
        <v>1900700497</v>
      </c>
      <c r="U260" s="13">
        <f t="shared" si="8"/>
        <v>0.69237567821211621</v>
      </c>
    </row>
    <row r="261" spans="1:21" x14ac:dyDescent="0.2">
      <c r="A261" s="1" t="s">
        <v>354</v>
      </c>
      <c r="B261" s="1" t="s">
        <v>82</v>
      </c>
      <c r="C261" s="1" t="s">
        <v>92</v>
      </c>
      <c r="D261" s="1" t="s">
        <v>30</v>
      </c>
      <c r="E261" s="1" t="s">
        <v>105</v>
      </c>
      <c r="F261" s="1" t="s">
        <v>32</v>
      </c>
      <c r="G261" s="2">
        <v>44183</v>
      </c>
      <c r="H261" s="9">
        <v>0.9</v>
      </c>
      <c r="I261" s="2">
        <v>38808</v>
      </c>
      <c r="J261" s="2">
        <v>44470</v>
      </c>
      <c r="K261" s="5">
        <v>14.7</v>
      </c>
      <c r="L261" s="1" t="s">
        <v>56</v>
      </c>
      <c r="M261" s="1" t="s">
        <v>370</v>
      </c>
      <c r="N261" s="1" t="s">
        <v>391</v>
      </c>
      <c r="O261" s="1" t="s">
        <v>391</v>
      </c>
      <c r="P261" s="1" t="s">
        <v>396</v>
      </c>
      <c r="Q261">
        <v>0.950353</v>
      </c>
      <c r="R261">
        <v>0.73551999999999995</v>
      </c>
      <c r="S261" s="16">
        <v>8.6108440000000002</v>
      </c>
      <c r="T261" s="14">
        <v>1445894095</v>
      </c>
      <c r="U261" s="13">
        <f t="shared" si="8"/>
        <v>0.52670155357386583</v>
      </c>
    </row>
    <row r="262" spans="1:21" x14ac:dyDescent="0.2">
      <c r="A262" s="1" t="s">
        <v>355</v>
      </c>
      <c r="B262" s="1" t="s">
        <v>82</v>
      </c>
      <c r="C262" s="1" t="s">
        <v>92</v>
      </c>
      <c r="D262" s="1" t="s">
        <v>30</v>
      </c>
      <c r="E262" s="1" t="s">
        <v>105</v>
      </c>
      <c r="F262" s="1" t="s">
        <v>32</v>
      </c>
      <c r="G262" s="2">
        <v>44183</v>
      </c>
      <c r="H262" s="9">
        <v>0.9</v>
      </c>
      <c r="I262" s="2">
        <v>38808</v>
      </c>
      <c r="J262" s="2">
        <v>44470</v>
      </c>
      <c r="K262" s="5">
        <v>14.7</v>
      </c>
      <c r="L262" s="1" t="s">
        <v>56</v>
      </c>
      <c r="M262" s="1" t="s">
        <v>370</v>
      </c>
      <c r="N262" s="1" t="s">
        <v>390</v>
      </c>
      <c r="O262" s="1" t="s">
        <v>390</v>
      </c>
      <c r="P262" s="1" t="s">
        <v>396</v>
      </c>
      <c r="Q262">
        <v>0.94986400000000004</v>
      </c>
      <c r="R262">
        <v>0.74261100000000002</v>
      </c>
      <c r="S262" s="16">
        <v>8.9786350000000006</v>
      </c>
      <c r="T262" s="14">
        <v>1504838317</v>
      </c>
      <c r="U262" s="13">
        <f>T262/2745186691</f>
        <v>0.54817339816397936</v>
      </c>
    </row>
    <row r="263" spans="1:21" x14ac:dyDescent="0.2">
      <c r="A263" s="1" t="s">
        <v>356</v>
      </c>
      <c r="B263" s="1" t="s">
        <v>82</v>
      </c>
      <c r="C263" s="1" t="s">
        <v>92</v>
      </c>
      <c r="D263" s="1" t="s">
        <v>30</v>
      </c>
      <c r="E263" s="1" t="s">
        <v>105</v>
      </c>
      <c r="F263" s="1" t="s">
        <v>32</v>
      </c>
      <c r="G263" s="2">
        <v>44183</v>
      </c>
      <c r="H263" s="9">
        <v>0.9</v>
      </c>
      <c r="I263" s="2">
        <v>38808</v>
      </c>
      <c r="J263" s="2">
        <v>44470</v>
      </c>
      <c r="K263" s="5">
        <v>14.7</v>
      </c>
      <c r="L263" s="1" t="s">
        <v>56</v>
      </c>
      <c r="M263" s="1" t="s">
        <v>370</v>
      </c>
      <c r="N263" s="1" t="s">
        <v>391</v>
      </c>
      <c r="O263" s="1" t="s">
        <v>391</v>
      </c>
      <c r="P263" s="1" t="s">
        <v>396</v>
      </c>
      <c r="Q263">
        <v>0.945739</v>
      </c>
      <c r="R263">
        <v>0.73655400000000004</v>
      </c>
      <c r="S263" s="16">
        <v>9.2027380000000001</v>
      </c>
      <c r="T263" s="14">
        <v>1513153047</v>
      </c>
      <c r="U263" s="13">
        <f t="shared" ref="U263:U284" si="9">T263/2745186691</f>
        <v>0.55120223770602561</v>
      </c>
    </row>
    <row r="264" spans="1:21" x14ac:dyDescent="0.2">
      <c r="A264" s="1" t="s">
        <v>357</v>
      </c>
      <c r="B264" s="1" t="s">
        <v>82</v>
      </c>
      <c r="C264" s="1" t="s">
        <v>92</v>
      </c>
      <c r="D264" s="1" t="s">
        <v>30</v>
      </c>
      <c r="E264" s="1" t="s">
        <v>105</v>
      </c>
      <c r="F264" s="1" t="s">
        <v>32</v>
      </c>
      <c r="G264" s="2">
        <v>44183</v>
      </c>
      <c r="H264" s="9">
        <v>0.9</v>
      </c>
      <c r="I264" s="2">
        <v>38808</v>
      </c>
      <c r="J264" s="2">
        <v>44470</v>
      </c>
      <c r="K264" s="5">
        <v>14.7</v>
      </c>
      <c r="L264" s="1" t="s">
        <v>56</v>
      </c>
      <c r="M264" s="1" t="s">
        <v>370</v>
      </c>
      <c r="N264" s="1" t="s">
        <v>390</v>
      </c>
      <c r="O264" s="1" t="s">
        <v>390</v>
      </c>
      <c r="P264" s="7" t="s">
        <v>396</v>
      </c>
      <c r="Q264">
        <v>0.95641200000000004</v>
      </c>
      <c r="R264">
        <v>0.79084100000000002</v>
      </c>
      <c r="S264" s="16">
        <v>10.205625</v>
      </c>
      <c r="T264" s="14">
        <v>1697818340</v>
      </c>
      <c r="U264" s="13">
        <f t="shared" si="9"/>
        <v>0.61847099345419343</v>
      </c>
    </row>
    <row r="265" spans="1:21" x14ac:dyDescent="0.2">
      <c r="A265" s="1" t="s">
        <v>358</v>
      </c>
      <c r="B265" s="1" t="s">
        <v>82</v>
      </c>
      <c r="C265" s="1" t="s">
        <v>92</v>
      </c>
      <c r="D265" s="1" t="s">
        <v>30</v>
      </c>
      <c r="E265" s="1" t="s">
        <v>105</v>
      </c>
      <c r="F265" s="1" t="s">
        <v>32</v>
      </c>
      <c r="G265" s="2">
        <v>44183</v>
      </c>
      <c r="H265" s="9">
        <v>0.9</v>
      </c>
      <c r="I265" s="2">
        <v>38808</v>
      </c>
      <c r="J265" s="2">
        <v>44470</v>
      </c>
      <c r="K265" s="5">
        <v>14.7</v>
      </c>
      <c r="L265" s="1" t="s">
        <v>56</v>
      </c>
      <c r="M265" s="1" t="s">
        <v>370</v>
      </c>
      <c r="N265" s="1" t="s">
        <v>390</v>
      </c>
      <c r="O265" s="1" t="s">
        <v>390</v>
      </c>
      <c r="P265" s="1" t="s">
        <v>396</v>
      </c>
      <c r="Q265">
        <v>0.95785200000000004</v>
      </c>
      <c r="R265">
        <v>0.79856799999999994</v>
      </c>
      <c r="S265" s="16">
        <v>10.20335</v>
      </c>
      <c r="T265" s="14">
        <v>1732824237</v>
      </c>
      <c r="U265" s="13">
        <f t="shared" si="9"/>
        <v>0.63122272983509808</v>
      </c>
    </row>
    <row r="266" spans="1:21" x14ac:dyDescent="0.2">
      <c r="A266" s="1" t="s">
        <v>359</v>
      </c>
      <c r="B266" s="1" t="s">
        <v>82</v>
      </c>
      <c r="C266" s="1" t="s">
        <v>92</v>
      </c>
      <c r="D266" s="1" t="s">
        <v>30</v>
      </c>
      <c r="E266" s="1" t="s">
        <v>105</v>
      </c>
      <c r="F266" s="1" t="s">
        <v>32</v>
      </c>
      <c r="G266" s="2">
        <v>44183</v>
      </c>
      <c r="H266" s="9">
        <v>0.9</v>
      </c>
      <c r="I266" s="2">
        <v>38808</v>
      </c>
      <c r="J266" s="2">
        <v>44470</v>
      </c>
      <c r="K266" s="5">
        <v>14.7</v>
      </c>
      <c r="L266" s="1" t="s">
        <v>56</v>
      </c>
      <c r="M266" s="1" t="s">
        <v>370</v>
      </c>
      <c r="N266" s="1" t="s">
        <v>390</v>
      </c>
      <c r="O266" s="1" t="s">
        <v>390</v>
      </c>
      <c r="P266" s="1" t="s">
        <v>396</v>
      </c>
      <c r="Q266">
        <v>0.95158500000000001</v>
      </c>
      <c r="R266">
        <v>0.75534999999999997</v>
      </c>
      <c r="S266" s="16">
        <v>9.1422030000000003</v>
      </c>
      <c r="T266" s="14">
        <v>1535116668</v>
      </c>
      <c r="U266" s="13">
        <f t="shared" si="9"/>
        <v>0.55920301268865502</v>
      </c>
    </row>
    <row r="267" spans="1:21" x14ac:dyDescent="0.2">
      <c r="A267" s="1" t="s">
        <v>360</v>
      </c>
      <c r="B267" s="1" t="s">
        <v>82</v>
      </c>
      <c r="C267" s="1" t="s">
        <v>92</v>
      </c>
      <c r="D267" s="1" t="s">
        <v>30</v>
      </c>
      <c r="E267" s="1" t="s">
        <v>105</v>
      </c>
      <c r="F267" s="1" t="s">
        <v>32</v>
      </c>
      <c r="G267" s="2">
        <v>44183</v>
      </c>
      <c r="H267" s="9">
        <v>0.9</v>
      </c>
      <c r="I267" s="2">
        <v>38808</v>
      </c>
      <c r="J267" s="2">
        <v>44470</v>
      </c>
      <c r="K267" s="5">
        <v>14.7</v>
      </c>
      <c r="L267" s="1" t="s">
        <v>56</v>
      </c>
      <c r="M267" s="1" t="s">
        <v>370</v>
      </c>
      <c r="N267" s="1" t="s">
        <v>391</v>
      </c>
      <c r="O267" s="1" t="s">
        <v>391</v>
      </c>
      <c r="P267" s="1" t="s">
        <v>396</v>
      </c>
      <c r="Q267">
        <v>0.95433800000000002</v>
      </c>
      <c r="R267">
        <v>0.81909500000000002</v>
      </c>
      <c r="S267" s="16">
        <v>12.330766000000001</v>
      </c>
      <c r="T267" s="14">
        <v>1862996447</v>
      </c>
      <c r="U267" s="13">
        <f t="shared" si="9"/>
        <v>0.67864107497962511</v>
      </c>
    </row>
    <row r="268" spans="1:21" x14ac:dyDescent="0.2">
      <c r="A268" s="12" t="s">
        <v>106</v>
      </c>
      <c r="B268" s="1" t="s">
        <v>55</v>
      </c>
      <c r="C268" s="1" t="s">
        <v>347</v>
      </c>
      <c r="D268" s="1" t="s">
        <v>30</v>
      </c>
      <c r="E268" s="1" t="s">
        <v>105</v>
      </c>
      <c r="F268" s="1" t="s">
        <v>53</v>
      </c>
      <c r="G268" s="2">
        <v>44642</v>
      </c>
      <c r="H268" s="9">
        <v>0.9</v>
      </c>
      <c r="I268" s="2">
        <v>38443</v>
      </c>
      <c r="J268" s="2" t="s">
        <v>55</v>
      </c>
      <c r="K268" s="6">
        <v>17</v>
      </c>
      <c r="L268" s="1" t="s">
        <v>56</v>
      </c>
      <c r="M268" s="1" t="s">
        <v>54</v>
      </c>
      <c r="N268" s="1" t="s">
        <v>392</v>
      </c>
      <c r="O268" s="1" t="s">
        <v>392</v>
      </c>
      <c r="P268" s="1" t="s">
        <v>396</v>
      </c>
      <c r="Q268">
        <v>0.72071200000000002</v>
      </c>
      <c r="R268">
        <v>0.45413799999999999</v>
      </c>
      <c r="S268" s="16">
        <v>8.897926</v>
      </c>
      <c r="T268" s="18">
        <v>1012527072</v>
      </c>
      <c r="U268" s="13">
        <f t="shared" si="9"/>
        <v>0.36883723621403786</v>
      </c>
    </row>
    <row r="269" spans="1:21" x14ac:dyDescent="0.2">
      <c r="A269" s="12" t="s">
        <v>107</v>
      </c>
      <c r="B269" s="1" t="s">
        <v>55</v>
      </c>
      <c r="C269" s="1" t="s">
        <v>347</v>
      </c>
      <c r="D269" s="1" t="s">
        <v>30</v>
      </c>
      <c r="E269" s="1" t="s">
        <v>105</v>
      </c>
      <c r="F269" s="1" t="s">
        <v>53</v>
      </c>
      <c r="G269" s="2">
        <v>44642</v>
      </c>
      <c r="H269" s="9">
        <v>0.9</v>
      </c>
      <c r="I269" s="2">
        <v>38443</v>
      </c>
      <c r="J269" s="2" t="s">
        <v>55</v>
      </c>
      <c r="K269" s="6">
        <v>17</v>
      </c>
      <c r="L269" s="1" t="s">
        <v>56</v>
      </c>
      <c r="M269" s="1" t="s">
        <v>54</v>
      </c>
      <c r="N269" s="1" t="s">
        <v>392</v>
      </c>
      <c r="O269" s="1" t="s">
        <v>392</v>
      </c>
      <c r="P269" s="1" t="s">
        <v>396</v>
      </c>
      <c r="Q269">
        <v>0.78717400000000004</v>
      </c>
      <c r="R269">
        <v>0.53220199999999995</v>
      </c>
      <c r="S269" s="16">
        <v>8.1581689999999991</v>
      </c>
      <c r="T269" s="18">
        <v>1166830665</v>
      </c>
      <c r="U269" s="13">
        <f t="shared" si="9"/>
        <v>0.42504601556805377</v>
      </c>
    </row>
    <row r="270" spans="1:21" x14ac:dyDescent="0.2">
      <c r="A270" s="12" t="s">
        <v>108</v>
      </c>
      <c r="B270" s="1" t="s">
        <v>55</v>
      </c>
      <c r="C270" s="1" t="s">
        <v>347</v>
      </c>
      <c r="D270" s="1" t="s">
        <v>30</v>
      </c>
      <c r="E270" s="1" t="s">
        <v>105</v>
      </c>
      <c r="F270" s="1" t="s">
        <v>53</v>
      </c>
      <c r="G270" s="2">
        <v>44642</v>
      </c>
      <c r="H270" s="9">
        <v>0.9</v>
      </c>
      <c r="I270" s="2">
        <v>38443</v>
      </c>
      <c r="J270" s="2" t="s">
        <v>55</v>
      </c>
      <c r="K270" s="6">
        <v>17</v>
      </c>
      <c r="L270" s="1" t="s">
        <v>56</v>
      </c>
      <c r="M270" s="1" t="s">
        <v>54</v>
      </c>
      <c r="N270" s="1" t="s">
        <v>390</v>
      </c>
      <c r="O270" s="1" t="s">
        <v>390</v>
      </c>
      <c r="P270" s="1" t="s">
        <v>396</v>
      </c>
      <c r="Q270">
        <v>0.93399500000000002</v>
      </c>
      <c r="R270">
        <v>0.71189899999999995</v>
      </c>
      <c r="S270" s="16">
        <v>10.726359</v>
      </c>
      <c r="T270" s="18">
        <v>1557442900</v>
      </c>
      <c r="U270" s="13">
        <f t="shared" si="9"/>
        <v>0.5673358774126448</v>
      </c>
    </row>
    <row r="271" spans="1:21" x14ac:dyDescent="0.2">
      <c r="A271" s="12" t="s">
        <v>109</v>
      </c>
      <c r="B271" s="1" t="s">
        <v>55</v>
      </c>
      <c r="C271" s="1" t="s">
        <v>347</v>
      </c>
      <c r="D271" s="1" t="s">
        <v>30</v>
      </c>
      <c r="E271" s="1" t="s">
        <v>105</v>
      </c>
      <c r="F271" s="1" t="s">
        <v>53</v>
      </c>
      <c r="G271" s="2">
        <v>44642</v>
      </c>
      <c r="H271" s="9">
        <v>0.9</v>
      </c>
      <c r="I271" s="2">
        <v>38443</v>
      </c>
      <c r="J271" s="2" t="s">
        <v>55</v>
      </c>
      <c r="K271" s="6">
        <v>17</v>
      </c>
      <c r="L271" s="1" t="s">
        <v>56</v>
      </c>
      <c r="M271" s="1" t="s">
        <v>54</v>
      </c>
      <c r="N271" s="1" t="s">
        <v>390</v>
      </c>
      <c r="O271" s="1" t="s">
        <v>390</v>
      </c>
      <c r="P271" s="1" t="s">
        <v>396</v>
      </c>
      <c r="Q271">
        <v>0.94316199999999994</v>
      </c>
      <c r="R271">
        <v>0.78979699999999997</v>
      </c>
      <c r="S271" s="16">
        <v>13.051214</v>
      </c>
      <c r="T271" s="18">
        <v>1882438316</v>
      </c>
      <c r="U271" s="13">
        <f t="shared" si="9"/>
        <v>0.68572324139975949</v>
      </c>
    </row>
    <row r="272" spans="1:21" x14ac:dyDescent="0.2">
      <c r="A272" s="12" t="s">
        <v>110</v>
      </c>
      <c r="B272" s="1" t="s">
        <v>55</v>
      </c>
      <c r="C272" s="1" t="s">
        <v>347</v>
      </c>
      <c r="D272" s="1" t="s">
        <v>30</v>
      </c>
      <c r="E272" s="1" t="s">
        <v>105</v>
      </c>
      <c r="F272" s="1" t="s">
        <v>53</v>
      </c>
      <c r="G272" s="2">
        <v>44642</v>
      </c>
      <c r="H272" s="9">
        <v>0.9</v>
      </c>
      <c r="I272" s="2">
        <v>38443</v>
      </c>
      <c r="J272" s="2" t="s">
        <v>55</v>
      </c>
      <c r="K272" s="6">
        <v>17</v>
      </c>
      <c r="L272" s="1" t="s">
        <v>56</v>
      </c>
      <c r="M272" s="1" t="s">
        <v>54</v>
      </c>
      <c r="N272" s="1" t="s">
        <v>391</v>
      </c>
      <c r="O272" s="1" t="s">
        <v>390</v>
      </c>
      <c r="P272" s="1" t="s">
        <v>396</v>
      </c>
      <c r="Q272">
        <v>0.96415399999999996</v>
      </c>
      <c r="R272">
        <v>0.85175999999999996</v>
      </c>
      <c r="S272" s="16">
        <v>12.452508</v>
      </c>
      <c r="T272" s="18">
        <v>1987829790</v>
      </c>
      <c r="U272" s="13">
        <f t="shared" si="9"/>
        <v>0.72411460995240562</v>
      </c>
    </row>
    <row r="273" spans="1:21" x14ac:dyDescent="0.2">
      <c r="A273" s="12" t="s">
        <v>111</v>
      </c>
      <c r="B273" s="1" t="s">
        <v>55</v>
      </c>
      <c r="C273" s="1" t="s">
        <v>347</v>
      </c>
      <c r="D273" s="1" t="s">
        <v>30</v>
      </c>
      <c r="E273" s="1" t="s">
        <v>105</v>
      </c>
      <c r="F273" s="1" t="s">
        <v>53</v>
      </c>
      <c r="G273" s="2">
        <v>44642</v>
      </c>
      <c r="H273" s="9">
        <v>0.9</v>
      </c>
      <c r="I273" s="2">
        <v>38443</v>
      </c>
      <c r="J273" s="2" t="s">
        <v>55</v>
      </c>
      <c r="K273" s="6">
        <v>17</v>
      </c>
      <c r="L273" s="1" t="s">
        <v>56</v>
      </c>
      <c r="M273" s="1" t="s">
        <v>54</v>
      </c>
      <c r="N273" s="1" t="s">
        <v>390</v>
      </c>
      <c r="O273" s="1" t="s">
        <v>390</v>
      </c>
      <c r="P273" s="1" t="s">
        <v>396</v>
      </c>
      <c r="Q273">
        <v>0.95461600000000002</v>
      </c>
      <c r="R273">
        <v>0.77570799999999995</v>
      </c>
      <c r="S273" s="16">
        <v>10.336729</v>
      </c>
      <c r="T273" s="18">
        <v>1694065389</v>
      </c>
      <c r="U273" s="13">
        <f t="shared" si="9"/>
        <v>0.61710389116847131</v>
      </c>
    </row>
    <row r="274" spans="1:21" x14ac:dyDescent="0.2">
      <c r="A274" s="12" t="s">
        <v>112</v>
      </c>
      <c r="B274" s="1" t="s">
        <v>55</v>
      </c>
      <c r="C274" s="1" t="s">
        <v>347</v>
      </c>
      <c r="D274" s="1" t="s">
        <v>30</v>
      </c>
      <c r="E274" s="1" t="s">
        <v>105</v>
      </c>
      <c r="F274" s="1" t="s">
        <v>53</v>
      </c>
      <c r="G274" s="2">
        <v>44642</v>
      </c>
      <c r="H274" s="9">
        <v>0.9</v>
      </c>
      <c r="I274" s="2">
        <v>38443</v>
      </c>
      <c r="J274" s="2" t="s">
        <v>55</v>
      </c>
      <c r="K274" s="6">
        <v>17</v>
      </c>
      <c r="L274" s="1" t="s">
        <v>56</v>
      </c>
      <c r="M274" s="1" t="s">
        <v>54</v>
      </c>
      <c r="N274" s="1" t="s">
        <v>390</v>
      </c>
      <c r="O274" s="1" t="s">
        <v>390</v>
      </c>
      <c r="P274" s="1" t="s">
        <v>396</v>
      </c>
      <c r="Q274">
        <v>0.96567199999999997</v>
      </c>
      <c r="R274">
        <v>0.86239600000000005</v>
      </c>
      <c r="S274" s="16">
        <v>13.253310000000001</v>
      </c>
      <c r="T274" s="18">
        <v>2052976295</v>
      </c>
      <c r="U274" s="13">
        <f t="shared" si="9"/>
        <v>0.74784578467126195</v>
      </c>
    </row>
    <row r="275" spans="1:21" x14ac:dyDescent="0.2">
      <c r="A275" s="12" t="s">
        <v>113</v>
      </c>
      <c r="B275" s="1" t="s">
        <v>55</v>
      </c>
      <c r="C275" s="1" t="s">
        <v>347</v>
      </c>
      <c r="D275" s="1" t="s">
        <v>30</v>
      </c>
      <c r="E275" s="1" t="s">
        <v>105</v>
      </c>
      <c r="F275" s="1" t="s">
        <v>53</v>
      </c>
      <c r="G275" s="2">
        <v>44642</v>
      </c>
      <c r="H275" s="9">
        <v>0.9</v>
      </c>
      <c r="I275" s="2">
        <v>38443</v>
      </c>
      <c r="J275" s="2" t="s">
        <v>55</v>
      </c>
      <c r="K275" s="6">
        <v>17</v>
      </c>
      <c r="L275" s="1" t="s">
        <v>56</v>
      </c>
      <c r="M275" s="1" t="s">
        <v>54</v>
      </c>
      <c r="N275" s="1" t="s">
        <v>390</v>
      </c>
      <c r="O275" s="1" t="s">
        <v>390</v>
      </c>
      <c r="P275" s="1" t="s">
        <v>396</v>
      </c>
      <c r="Q275">
        <v>0.92445900000000003</v>
      </c>
      <c r="R275">
        <v>0.70624500000000001</v>
      </c>
      <c r="S275" s="16">
        <v>11.3963</v>
      </c>
      <c r="T275" s="18">
        <v>1571012569</v>
      </c>
      <c r="U275" s="13">
        <f t="shared" si="9"/>
        <v>0.57227895434234421</v>
      </c>
    </row>
    <row r="276" spans="1:21" x14ac:dyDescent="0.2">
      <c r="A276" s="12" t="s">
        <v>114</v>
      </c>
      <c r="B276" s="1" t="s">
        <v>55</v>
      </c>
      <c r="C276" s="1" t="s">
        <v>347</v>
      </c>
      <c r="D276" s="1" t="s">
        <v>30</v>
      </c>
      <c r="E276" s="1" t="s">
        <v>105</v>
      </c>
      <c r="F276" s="1" t="s">
        <v>53</v>
      </c>
      <c r="G276" s="2">
        <v>44642</v>
      </c>
      <c r="H276" s="9">
        <v>0.9</v>
      </c>
      <c r="I276" s="2">
        <v>38443</v>
      </c>
      <c r="J276" s="2" t="s">
        <v>55</v>
      </c>
      <c r="K276" s="6">
        <v>17</v>
      </c>
      <c r="L276" s="1" t="s">
        <v>56</v>
      </c>
      <c r="M276" s="1" t="s">
        <v>54</v>
      </c>
      <c r="N276" s="1" t="s">
        <v>390</v>
      </c>
      <c r="O276" s="1" t="s">
        <v>390</v>
      </c>
      <c r="P276" s="1" t="s">
        <v>396</v>
      </c>
      <c r="Q276">
        <v>0.94731200000000004</v>
      </c>
      <c r="R276">
        <v>0.75051100000000004</v>
      </c>
      <c r="S276" s="16">
        <v>10.834201999999999</v>
      </c>
      <c r="T276" s="18">
        <v>1678772269</v>
      </c>
      <c r="U276" s="13">
        <f t="shared" si="9"/>
        <v>0.61153300593500515</v>
      </c>
    </row>
    <row r="277" spans="1:21" x14ac:dyDescent="0.2">
      <c r="A277" s="12" t="s">
        <v>115</v>
      </c>
      <c r="B277" s="1" t="s">
        <v>55</v>
      </c>
      <c r="C277" s="1" t="s">
        <v>347</v>
      </c>
      <c r="D277" s="1" t="s">
        <v>30</v>
      </c>
      <c r="E277" s="1" t="s">
        <v>105</v>
      </c>
      <c r="F277" s="1" t="s">
        <v>53</v>
      </c>
      <c r="G277" s="2">
        <v>44642</v>
      </c>
      <c r="H277" s="9">
        <v>0.9</v>
      </c>
      <c r="I277" s="2">
        <v>38443</v>
      </c>
      <c r="J277" s="2" t="s">
        <v>55</v>
      </c>
      <c r="K277" s="6">
        <v>17</v>
      </c>
      <c r="L277" s="1" t="s">
        <v>56</v>
      </c>
      <c r="M277" s="1" t="s">
        <v>54</v>
      </c>
      <c r="N277" s="1" t="s">
        <v>392</v>
      </c>
      <c r="O277" s="1" t="s">
        <v>391</v>
      </c>
      <c r="P277" s="1" t="s">
        <v>396</v>
      </c>
      <c r="Q277">
        <v>0.89029199999999997</v>
      </c>
      <c r="R277">
        <v>0.64404300000000003</v>
      </c>
      <c r="S277" s="16">
        <v>11.150938999999999</v>
      </c>
      <c r="T277" s="18">
        <v>1468825828</v>
      </c>
      <c r="U277" s="13">
        <f t="shared" si="9"/>
        <v>0.53505498653898287</v>
      </c>
    </row>
    <row r="278" spans="1:21" x14ac:dyDescent="0.2">
      <c r="A278" s="12" t="s">
        <v>116</v>
      </c>
      <c r="B278" s="1" t="s">
        <v>55</v>
      </c>
      <c r="C278" s="1" t="s">
        <v>347</v>
      </c>
      <c r="D278" s="1" t="s">
        <v>30</v>
      </c>
      <c r="E278" s="1" t="s">
        <v>105</v>
      </c>
      <c r="F278" s="1" t="s">
        <v>53</v>
      </c>
      <c r="G278" s="2">
        <v>44642</v>
      </c>
      <c r="H278" s="9">
        <v>0.9</v>
      </c>
      <c r="I278" s="2">
        <v>38443</v>
      </c>
      <c r="J278" s="2" t="s">
        <v>55</v>
      </c>
      <c r="K278" s="6">
        <v>17</v>
      </c>
      <c r="L278" s="1" t="s">
        <v>56</v>
      </c>
      <c r="M278" s="1" t="s">
        <v>54</v>
      </c>
      <c r="N278" s="1" t="s">
        <v>391</v>
      </c>
      <c r="O278" s="1" t="s">
        <v>390</v>
      </c>
      <c r="P278" s="1" t="s">
        <v>396</v>
      </c>
      <c r="Q278">
        <v>0.87063999999999997</v>
      </c>
      <c r="R278">
        <v>0.54819399999999996</v>
      </c>
      <c r="S278" s="16">
        <v>8.4864689999999996</v>
      </c>
      <c r="T278" s="18">
        <v>1133724945</v>
      </c>
      <c r="U278" s="13">
        <f t="shared" si="9"/>
        <v>0.41298646416904111</v>
      </c>
    </row>
    <row r="279" spans="1:21" x14ac:dyDescent="0.2">
      <c r="A279" s="12" t="s">
        <v>117</v>
      </c>
      <c r="B279" s="1" t="s">
        <v>55</v>
      </c>
      <c r="C279" s="1" t="s">
        <v>347</v>
      </c>
      <c r="D279" s="1" t="s">
        <v>30</v>
      </c>
      <c r="E279" s="1" t="s">
        <v>105</v>
      </c>
      <c r="F279" s="1" t="s">
        <v>53</v>
      </c>
      <c r="G279" s="2">
        <v>44642</v>
      </c>
      <c r="H279" s="9">
        <v>0.9</v>
      </c>
      <c r="I279" s="2">
        <v>38443</v>
      </c>
      <c r="J279" s="2" t="s">
        <v>55</v>
      </c>
      <c r="K279" s="6">
        <v>17</v>
      </c>
      <c r="L279" s="1" t="s">
        <v>56</v>
      </c>
      <c r="M279" s="1" t="s">
        <v>54</v>
      </c>
      <c r="N279" s="1" t="s">
        <v>392</v>
      </c>
      <c r="O279" s="1" t="s">
        <v>392</v>
      </c>
      <c r="P279" s="1" t="s">
        <v>396</v>
      </c>
      <c r="Q279">
        <v>0.77670499999999998</v>
      </c>
      <c r="R279">
        <v>0.47641299999999998</v>
      </c>
      <c r="S279" s="16">
        <v>7.5745880000000003</v>
      </c>
      <c r="T279" s="18">
        <v>1006127177</v>
      </c>
      <c r="U279" s="13">
        <f t="shared" si="9"/>
        <v>0.36650592118144582</v>
      </c>
    </row>
    <row r="280" spans="1:21" x14ac:dyDescent="0.2">
      <c r="A280" s="12" t="s">
        <v>118</v>
      </c>
      <c r="B280" s="1" t="s">
        <v>55</v>
      </c>
      <c r="C280" s="1" t="s">
        <v>347</v>
      </c>
      <c r="D280" s="1" t="s">
        <v>30</v>
      </c>
      <c r="E280" s="1" t="s">
        <v>105</v>
      </c>
      <c r="F280" s="1" t="s">
        <v>53</v>
      </c>
      <c r="G280" s="2">
        <v>44642</v>
      </c>
      <c r="H280" s="9">
        <v>0.9</v>
      </c>
      <c r="I280" s="2">
        <v>38443</v>
      </c>
      <c r="J280" s="2" t="s">
        <v>55</v>
      </c>
      <c r="K280" s="6">
        <v>17</v>
      </c>
      <c r="L280" s="1" t="s">
        <v>56</v>
      </c>
      <c r="M280" s="1" t="s">
        <v>54</v>
      </c>
      <c r="N280" s="1" t="s">
        <v>392</v>
      </c>
      <c r="O280" s="1" t="s">
        <v>392</v>
      </c>
      <c r="P280" s="1" t="s">
        <v>396</v>
      </c>
      <c r="Q280">
        <v>0.83277699999999999</v>
      </c>
      <c r="R280">
        <v>0.55677500000000002</v>
      </c>
      <c r="S280" s="16">
        <v>9.5256039999999995</v>
      </c>
      <c r="T280" s="18">
        <v>1218805033</v>
      </c>
      <c r="U280" s="13">
        <f t="shared" si="9"/>
        <v>0.44397892390918631</v>
      </c>
    </row>
    <row r="281" spans="1:21" x14ac:dyDescent="0.2">
      <c r="A281" s="12" t="s">
        <v>119</v>
      </c>
      <c r="B281" s="1" t="s">
        <v>55</v>
      </c>
      <c r="C281" s="1" t="s">
        <v>347</v>
      </c>
      <c r="D281" s="1" t="s">
        <v>30</v>
      </c>
      <c r="E281" s="1" t="s">
        <v>105</v>
      </c>
      <c r="F281" s="1" t="s">
        <v>53</v>
      </c>
      <c r="G281" s="2">
        <v>44642</v>
      </c>
      <c r="H281" s="9">
        <v>0.9</v>
      </c>
      <c r="I281" s="2">
        <v>38443</v>
      </c>
      <c r="J281" s="2" t="s">
        <v>55</v>
      </c>
      <c r="K281" s="6">
        <v>17</v>
      </c>
      <c r="L281" s="1" t="s">
        <v>56</v>
      </c>
      <c r="M281" s="1" t="s">
        <v>54</v>
      </c>
      <c r="N281" s="1" t="s">
        <v>392</v>
      </c>
      <c r="O281" s="1" t="s">
        <v>392</v>
      </c>
      <c r="P281" s="1" t="s">
        <v>396</v>
      </c>
      <c r="Q281">
        <v>0.89663199999999998</v>
      </c>
      <c r="R281">
        <v>0.69925300000000001</v>
      </c>
      <c r="S281" s="16">
        <v>11.245685</v>
      </c>
      <c r="T281" s="18">
        <v>1591552660</v>
      </c>
      <c r="U281" s="13">
        <f t="shared" si="9"/>
        <v>0.57976117442862829</v>
      </c>
    </row>
    <row r="282" spans="1:21" x14ac:dyDescent="0.2">
      <c r="A282" s="12" t="s">
        <v>120</v>
      </c>
      <c r="B282" s="1" t="s">
        <v>55</v>
      </c>
      <c r="C282" s="1" t="s">
        <v>347</v>
      </c>
      <c r="D282" s="1" t="s">
        <v>30</v>
      </c>
      <c r="E282" s="1" t="s">
        <v>105</v>
      </c>
      <c r="F282" s="1" t="s">
        <v>53</v>
      </c>
      <c r="G282" s="2">
        <v>44642</v>
      </c>
      <c r="H282" s="9">
        <v>0.9</v>
      </c>
      <c r="I282" s="2">
        <v>38443</v>
      </c>
      <c r="J282" s="2" t="s">
        <v>55</v>
      </c>
      <c r="K282" s="6">
        <v>17</v>
      </c>
      <c r="L282" s="1" t="s">
        <v>56</v>
      </c>
      <c r="M282" s="1" t="s">
        <v>54</v>
      </c>
      <c r="N282" s="1" t="s">
        <v>390</v>
      </c>
      <c r="O282" s="1" t="s">
        <v>390</v>
      </c>
      <c r="P282" s="1" t="s">
        <v>396</v>
      </c>
      <c r="Q282">
        <v>0.96169499999999997</v>
      </c>
      <c r="R282">
        <v>0.83839799999999998</v>
      </c>
      <c r="S282" s="16">
        <v>12.762181</v>
      </c>
      <c r="T282" s="18">
        <v>1963803029</v>
      </c>
      <c r="U282" s="13">
        <f t="shared" si="9"/>
        <v>0.71536228681213576</v>
      </c>
    </row>
    <row r="283" spans="1:21" x14ac:dyDescent="0.2">
      <c r="A283" s="12" t="s">
        <v>121</v>
      </c>
      <c r="B283" s="1" t="s">
        <v>55</v>
      </c>
      <c r="C283" s="1" t="s">
        <v>347</v>
      </c>
      <c r="D283" s="1" t="s">
        <v>30</v>
      </c>
      <c r="E283" s="1" t="s">
        <v>105</v>
      </c>
      <c r="F283" s="1" t="s">
        <v>53</v>
      </c>
      <c r="G283" s="2">
        <v>44642</v>
      </c>
      <c r="H283" s="9">
        <v>0.9</v>
      </c>
      <c r="I283" s="2">
        <v>38443</v>
      </c>
      <c r="J283" s="2" t="s">
        <v>55</v>
      </c>
      <c r="K283" s="6">
        <v>17</v>
      </c>
      <c r="L283" s="1" t="s">
        <v>56</v>
      </c>
      <c r="M283" s="1" t="s">
        <v>54</v>
      </c>
      <c r="N283" s="1" t="s">
        <v>391</v>
      </c>
      <c r="O283" s="1" t="s">
        <v>391</v>
      </c>
      <c r="P283" s="1" t="s">
        <v>396</v>
      </c>
      <c r="Q283">
        <v>0.94632700000000003</v>
      </c>
      <c r="R283">
        <v>0.74769600000000003</v>
      </c>
      <c r="S283" s="16">
        <v>11.853232999999999</v>
      </c>
      <c r="T283" s="18">
        <v>1671918614</v>
      </c>
      <c r="U283" s="13">
        <f t="shared" si="9"/>
        <v>0.60903639795476483</v>
      </c>
    </row>
    <row r="284" spans="1:21" x14ac:dyDescent="0.2">
      <c r="A284" s="12" t="s">
        <v>122</v>
      </c>
      <c r="B284" s="1" t="s">
        <v>55</v>
      </c>
      <c r="C284" s="1" t="s">
        <v>347</v>
      </c>
      <c r="D284" s="1" t="s">
        <v>30</v>
      </c>
      <c r="E284" s="1" t="s">
        <v>105</v>
      </c>
      <c r="F284" s="1" t="s">
        <v>53</v>
      </c>
      <c r="G284" s="2">
        <v>44642</v>
      </c>
      <c r="H284" s="9">
        <v>0.9</v>
      </c>
      <c r="I284" s="2">
        <v>38443</v>
      </c>
      <c r="J284" s="2" t="s">
        <v>55</v>
      </c>
      <c r="K284" s="6">
        <v>17</v>
      </c>
      <c r="L284" s="1" t="s">
        <v>56</v>
      </c>
      <c r="M284" s="1" t="s">
        <v>54</v>
      </c>
      <c r="N284" s="1" t="s">
        <v>390</v>
      </c>
      <c r="O284" s="1" t="s">
        <v>390</v>
      </c>
      <c r="P284" s="1" t="s">
        <v>396</v>
      </c>
      <c r="Q284">
        <v>0.94139499999999998</v>
      </c>
      <c r="R284">
        <v>0.69350299999999998</v>
      </c>
      <c r="S284" s="16">
        <v>8.4463100000000004</v>
      </c>
      <c r="T284" s="18">
        <v>1408192779</v>
      </c>
      <c r="U284" s="13">
        <f t="shared" si="9"/>
        <v>0.51296794626635467</v>
      </c>
    </row>
    <row r="285" spans="1:21" x14ac:dyDescent="0.2">
      <c r="A285" s="12" t="s">
        <v>123</v>
      </c>
      <c r="B285" s="1" t="s">
        <v>55</v>
      </c>
      <c r="C285" s="1" t="s">
        <v>347</v>
      </c>
      <c r="D285" s="1" t="s">
        <v>30</v>
      </c>
      <c r="E285" s="1" t="s">
        <v>105</v>
      </c>
      <c r="F285" s="1" t="s">
        <v>53</v>
      </c>
      <c r="G285" s="2">
        <v>44642</v>
      </c>
      <c r="H285" s="9">
        <v>0.9</v>
      </c>
      <c r="I285" s="2">
        <v>38443</v>
      </c>
      <c r="J285" s="2" t="s">
        <v>55</v>
      </c>
      <c r="K285" s="6">
        <v>17</v>
      </c>
      <c r="L285" s="1" t="s">
        <v>56</v>
      </c>
      <c r="M285" s="1" t="s">
        <v>54</v>
      </c>
      <c r="N285" s="1" t="s">
        <v>391</v>
      </c>
      <c r="O285" s="1" t="s">
        <v>391</v>
      </c>
      <c r="P285" s="1" t="s">
        <v>396</v>
      </c>
      <c r="Q285">
        <v>0.94058600000000003</v>
      </c>
      <c r="R285">
        <v>0.678898</v>
      </c>
      <c r="S285" s="16">
        <v>7.6845970000000001</v>
      </c>
      <c r="T285" s="18">
        <v>1260434320</v>
      </c>
      <c r="U285" s="13">
        <f>T285/2745186691</f>
        <v>0.4591433887291857</v>
      </c>
    </row>
    <row r="286" spans="1:21" x14ac:dyDescent="0.2">
      <c r="A286" s="12" t="s">
        <v>124</v>
      </c>
      <c r="B286" s="1" t="s">
        <v>55</v>
      </c>
      <c r="C286" s="1" t="s">
        <v>347</v>
      </c>
      <c r="D286" s="1" t="s">
        <v>30</v>
      </c>
      <c r="E286" s="1" t="s">
        <v>105</v>
      </c>
      <c r="F286" s="1" t="s">
        <v>53</v>
      </c>
      <c r="G286" s="2">
        <v>44642</v>
      </c>
      <c r="H286" s="9">
        <v>0.9</v>
      </c>
      <c r="I286" s="2">
        <v>38443</v>
      </c>
      <c r="J286" s="2" t="s">
        <v>55</v>
      </c>
      <c r="K286" s="6">
        <v>17</v>
      </c>
      <c r="L286" s="1" t="s">
        <v>56</v>
      </c>
      <c r="M286" s="1" t="s">
        <v>54</v>
      </c>
      <c r="N286" s="1" t="s">
        <v>390</v>
      </c>
      <c r="O286" s="1" t="s">
        <v>390</v>
      </c>
      <c r="P286" s="1" t="s">
        <v>396</v>
      </c>
      <c r="Q286">
        <v>0.95749399999999996</v>
      </c>
      <c r="R286">
        <v>0.75695800000000002</v>
      </c>
      <c r="S286" s="16">
        <v>8.9380389999999998</v>
      </c>
      <c r="T286" s="18">
        <v>1530674190</v>
      </c>
      <c r="U286" s="13">
        <f t="shared" ref="U286:U312" si="10">T286/2745186691</f>
        <v>0.55758473367886507</v>
      </c>
    </row>
    <row r="287" spans="1:21" x14ac:dyDescent="0.2">
      <c r="A287" s="12" t="s">
        <v>125</v>
      </c>
      <c r="B287" s="1" t="s">
        <v>55</v>
      </c>
      <c r="C287" s="1" t="s">
        <v>347</v>
      </c>
      <c r="D287" s="1" t="s">
        <v>30</v>
      </c>
      <c r="E287" s="1" t="s">
        <v>105</v>
      </c>
      <c r="F287" s="1" t="s">
        <v>53</v>
      </c>
      <c r="G287" s="2">
        <v>44642</v>
      </c>
      <c r="H287" s="9">
        <v>0.9</v>
      </c>
      <c r="I287" s="2">
        <v>38443</v>
      </c>
      <c r="J287" s="2" t="s">
        <v>55</v>
      </c>
      <c r="K287" s="6">
        <v>17</v>
      </c>
      <c r="L287" s="1" t="s">
        <v>56</v>
      </c>
      <c r="M287" s="1" t="s">
        <v>54</v>
      </c>
      <c r="N287" s="1" t="s">
        <v>390</v>
      </c>
      <c r="O287" s="1" t="s">
        <v>390</v>
      </c>
      <c r="P287" s="1" t="s">
        <v>396</v>
      </c>
      <c r="Q287">
        <v>0.95812600000000003</v>
      </c>
      <c r="R287">
        <v>0.76907499999999995</v>
      </c>
      <c r="S287" s="16">
        <v>8.9632269999999998</v>
      </c>
      <c r="T287" s="18">
        <v>1572327492</v>
      </c>
      <c r="U287" s="13">
        <f t="shared" si="10"/>
        <v>0.57275794653777889</v>
      </c>
    </row>
    <row r="288" spans="1:21" x14ac:dyDescent="0.2">
      <c r="A288" s="12" t="s">
        <v>126</v>
      </c>
      <c r="B288" s="1" t="s">
        <v>55</v>
      </c>
      <c r="C288" s="1" t="s">
        <v>347</v>
      </c>
      <c r="D288" s="1" t="s">
        <v>30</v>
      </c>
      <c r="E288" s="1" t="s">
        <v>105</v>
      </c>
      <c r="F288" s="1" t="s">
        <v>53</v>
      </c>
      <c r="G288" s="2">
        <v>44642</v>
      </c>
      <c r="H288" s="9">
        <v>0.9</v>
      </c>
      <c r="I288" s="2">
        <v>38443</v>
      </c>
      <c r="J288" s="2" t="s">
        <v>55</v>
      </c>
      <c r="K288" s="6">
        <v>17</v>
      </c>
      <c r="L288" s="1" t="s">
        <v>56</v>
      </c>
      <c r="M288" s="1" t="s">
        <v>54</v>
      </c>
      <c r="N288" s="1" t="s">
        <v>390</v>
      </c>
      <c r="O288" s="1" t="s">
        <v>390</v>
      </c>
      <c r="P288" s="1" t="s">
        <v>396</v>
      </c>
      <c r="Q288">
        <v>0.95106999999999997</v>
      </c>
      <c r="R288">
        <v>0.72036299999999998</v>
      </c>
      <c r="S288" s="16">
        <v>8.3547460000000004</v>
      </c>
      <c r="T288" s="18">
        <v>1412520086</v>
      </c>
      <c r="U288" s="13">
        <f t="shared" si="10"/>
        <v>0.51454427148102477</v>
      </c>
    </row>
    <row r="289" spans="1:21" x14ac:dyDescent="0.2">
      <c r="A289" s="12" t="s">
        <v>127</v>
      </c>
      <c r="B289" s="1" t="s">
        <v>55</v>
      </c>
      <c r="C289" s="1" t="s">
        <v>347</v>
      </c>
      <c r="D289" s="1" t="s">
        <v>30</v>
      </c>
      <c r="E289" s="1" t="s">
        <v>105</v>
      </c>
      <c r="F289" s="1" t="s">
        <v>53</v>
      </c>
      <c r="G289" s="2">
        <v>44642</v>
      </c>
      <c r="H289" s="9">
        <v>0.9</v>
      </c>
      <c r="I289" s="2">
        <v>38443</v>
      </c>
      <c r="J289" s="2" t="s">
        <v>55</v>
      </c>
      <c r="K289" s="6">
        <v>17</v>
      </c>
      <c r="L289" s="1" t="s">
        <v>56</v>
      </c>
      <c r="M289" s="1" t="s">
        <v>54</v>
      </c>
      <c r="N289" s="1" t="s">
        <v>390</v>
      </c>
      <c r="O289" s="1" t="s">
        <v>390</v>
      </c>
      <c r="P289" s="1" t="s">
        <v>396</v>
      </c>
      <c r="Q289">
        <v>0.96211100000000005</v>
      </c>
      <c r="R289">
        <v>0.83087200000000005</v>
      </c>
      <c r="S289" s="16">
        <v>10.636068</v>
      </c>
      <c r="T289" s="18">
        <v>1869383514</v>
      </c>
      <c r="U289" s="13">
        <f t="shared" si="10"/>
        <v>0.68096771710598392</v>
      </c>
    </row>
    <row r="290" spans="1:21" x14ac:dyDescent="0.2">
      <c r="A290" s="12" t="s">
        <v>128</v>
      </c>
      <c r="B290" s="1" t="s">
        <v>55</v>
      </c>
      <c r="C290" s="1" t="s">
        <v>347</v>
      </c>
      <c r="D290" s="1" t="s">
        <v>30</v>
      </c>
      <c r="E290" s="1" t="s">
        <v>105</v>
      </c>
      <c r="F290" s="1" t="s">
        <v>53</v>
      </c>
      <c r="G290" s="2">
        <v>44642</v>
      </c>
      <c r="H290" s="9">
        <v>0.9</v>
      </c>
      <c r="I290" s="2">
        <v>38443</v>
      </c>
      <c r="J290" s="2" t="s">
        <v>55</v>
      </c>
      <c r="K290" s="6">
        <v>17</v>
      </c>
      <c r="L290" s="1" t="s">
        <v>56</v>
      </c>
      <c r="M290" s="1" t="s">
        <v>54</v>
      </c>
      <c r="N290" s="1" t="s">
        <v>390</v>
      </c>
      <c r="O290" s="1" t="s">
        <v>390</v>
      </c>
      <c r="P290" s="1" t="s">
        <v>396</v>
      </c>
      <c r="Q290">
        <v>0.95268600000000003</v>
      </c>
      <c r="R290">
        <v>0.77757399999999999</v>
      </c>
      <c r="S290" s="16">
        <v>9.7377690000000001</v>
      </c>
      <c r="T290" s="18">
        <v>1664250513</v>
      </c>
      <c r="U290" s="13">
        <f t="shared" si="10"/>
        <v>0.60624310851287022</v>
      </c>
    </row>
    <row r="291" spans="1:21" x14ac:dyDescent="0.2">
      <c r="A291" s="12" t="s">
        <v>129</v>
      </c>
      <c r="B291" s="1" t="s">
        <v>55</v>
      </c>
      <c r="C291" s="1" t="s">
        <v>347</v>
      </c>
      <c r="D291" s="1" t="s">
        <v>30</v>
      </c>
      <c r="E291" s="1" t="s">
        <v>105</v>
      </c>
      <c r="F291" s="1" t="s">
        <v>53</v>
      </c>
      <c r="G291" s="2">
        <v>44642</v>
      </c>
      <c r="H291" s="9">
        <v>0.9</v>
      </c>
      <c r="I291" s="2">
        <v>38443</v>
      </c>
      <c r="J291" s="2" t="s">
        <v>55</v>
      </c>
      <c r="K291" s="6">
        <v>17</v>
      </c>
      <c r="L291" s="1" t="s">
        <v>56</v>
      </c>
      <c r="M291" s="1" t="s">
        <v>54</v>
      </c>
      <c r="N291" s="1" t="s">
        <v>390</v>
      </c>
      <c r="O291" s="1" t="s">
        <v>390</v>
      </c>
      <c r="P291" s="1" t="s">
        <v>396</v>
      </c>
      <c r="Q291">
        <v>0.94234600000000002</v>
      </c>
      <c r="R291">
        <v>0.72940899999999997</v>
      </c>
      <c r="S291" s="16">
        <v>8.756335</v>
      </c>
      <c r="T291" s="18">
        <v>1489875839</v>
      </c>
      <c r="U291" s="13">
        <f t="shared" si="10"/>
        <v>0.54272295719795915</v>
      </c>
    </row>
    <row r="292" spans="1:21" x14ac:dyDescent="0.2">
      <c r="A292" s="12" t="s">
        <v>130</v>
      </c>
      <c r="B292" s="1" t="s">
        <v>55</v>
      </c>
      <c r="C292" s="1" t="s">
        <v>347</v>
      </c>
      <c r="D292" s="1" t="s">
        <v>30</v>
      </c>
      <c r="E292" s="1" t="s">
        <v>105</v>
      </c>
      <c r="F292" s="1" t="s">
        <v>53</v>
      </c>
      <c r="G292" s="2">
        <v>44642</v>
      </c>
      <c r="H292" s="9">
        <v>0.9</v>
      </c>
      <c r="I292" s="2">
        <v>38443</v>
      </c>
      <c r="J292" s="2" t="s">
        <v>55</v>
      </c>
      <c r="K292" s="6">
        <v>17</v>
      </c>
      <c r="L292" s="1" t="s">
        <v>56</v>
      </c>
      <c r="M292" s="1" t="s">
        <v>54</v>
      </c>
      <c r="N292" s="1" t="s">
        <v>391</v>
      </c>
      <c r="O292" s="1" t="s">
        <v>391</v>
      </c>
      <c r="P292" s="1" t="s">
        <v>396</v>
      </c>
      <c r="Q292">
        <v>0.95573200000000003</v>
      </c>
      <c r="R292">
        <v>0.81941399999999998</v>
      </c>
      <c r="S292" s="16">
        <v>11.06555</v>
      </c>
      <c r="T292" s="18">
        <v>1857158032</v>
      </c>
      <c r="U292" s="13">
        <f t="shared" si="10"/>
        <v>0.67651429248459805</v>
      </c>
    </row>
    <row r="293" spans="1:21" x14ac:dyDescent="0.2">
      <c r="A293" s="12" t="s">
        <v>131</v>
      </c>
      <c r="B293" s="1" t="s">
        <v>55</v>
      </c>
      <c r="C293" s="1" t="s">
        <v>347</v>
      </c>
      <c r="D293" s="1" t="s">
        <v>30</v>
      </c>
      <c r="E293" s="1" t="s">
        <v>105</v>
      </c>
      <c r="F293" s="1" t="s">
        <v>53</v>
      </c>
      <c r="G293" s="2">
        <v>44642</v>
      </c>
      <c r="H293" s="9">
        <v>0.9</v>
      </c>
      <c r="I293" s="2">
        <v>38443</v>
      </c>
      <c r="J293" s="2" t="s">
        <v>55</v>
      </c>
      <c r="K293" s="6">
        <v>17</v>
      </c>
      <c r="L293" s="1" t="s">
        <v>56</v>
      </c>
      <c r="M293" s="1" t="s">
        <v>54</v>
      </c>
      <c r="N293" s="1" t="s">
        <v>391</v>
      </c>
      <c r="O293" s="1" t="s">
        <v>391</v>
      </c>
      <c r="P293" s="1" t="s">
        <v>396</v>
      </c>
      <c r="Q293">
        <v>0.94972699999999999</v>
      </c>
      <c r="R293">
        <v>0.77466299999999999</v>
      </c>
      <c r="S293" s="16">
        <v>9.9234639999999992</v>
      </c>
      <c r="T293" s="18">
        <v>1663494837</v>
      </c>
      <c r="U293" s="13">
        <f t="shared" si="10"/>
        <v>0.60596783543126975</v>
      </c>
    </row>
    <row r="294" spans="1:21" x14ac:dyDescent="0.2">
      <c r="A294" s="12" t="s">
        <v>132</v>
      </c>
      <c r="B294" s="1" t="s">
        <v>55</v>
      </c>
      <c r="C294" s="1" t="s">
        <v>347</v>
      </c>
      <c r="D294" s="1" t="s">
        <v>30</v>
      </c>
      <c r="E294" s="1" t="s">
        <v>105</v>
      </c>
      <c r="F294" s="1" t="s">
        <v>53</v>
      </c>
      <c r="G294" s="2">
        <v>44642</v>
      </c>
      <c r="H294" s="9">
        <v>0.9</v>
      </c>
      <c r="I294" s="2">
        <v>38443</v>
      </c>
      <c r="J294" s="2" t="s">
        <v>55</v>
      </c>
      <c r="K294" s="6">
        <v>17</v>
      </c>
      <c r="L294" s="1" t="s">
        <v>56</v>
      </c>
      <c r="M294" s="1" t="s">
        <v>54</v>
      </c>
      <c r="N294" s="1" t="s">
        <v>391</v>
      </c>
      <c r="O294" s="1" t="s">
        <v>390</v>
      </c>
      <c r="P294" s="1" t="s">
        <v>396</v>
      </c>
      <c r="Q294">
        <v>0.96124399999999999</v>
      </c>
      <c r="R294">
        <v>0.82123500000000005</v>
      </c>
      <c r="S294" s="16">
        <v>11.130191</v>
      </c>
      <c r="T294" s="18">
        <v>1878591541</v>
      </c>
      <c r="U294" s="13">
        <f t="shared" si="10"/>
        <v>0.68432196147493274</v>
      </c>
    </row>
    <row r="295" spans="1:21" x14ac:dyDescent="0.2">
      <c r="A295" s="12" t="s">
        <v>133</v>
      </c>
      <c r="B295" s="1" t="s">
        <v>55</v>
      </c>
      <c r="C295" s="1" t="s">
        <v>347</v>
      </c>
      <c r="D295" s="1" t="s">
        <v>30</v>
      </c>
      <c r="E295" s="1" t="s">
        <v>105</v>
      </c>
      <c r="F295" s="1" t="s">
        <v>53</v>
      </c>
      <c r="G295" s="2">
        <v>44642</v>
      </c>
      <c r="H295" s="9">
        <v>0.9</v>
      </c>
      <c r="I295" s="2">
        <v>38443</v>
      </c>
      <c r="J295" s="2" t="s">
        <v>55</v>
      </c>
      <c r="K295" s="6">
        <v>17</v>
      </c>
      <c r="L295" s="1" t="s">
        <v>56</v>
      </c>
      <c r="M295" s="1" t="s">
        <v>54</v>
      </c>
      <c r="N295" s="1" t="s">
        <v>392</v>
      </c>
      <c r="O295" s="1" t="s">
        <v>392</v>
      </c>
      <c r="P295" s="1" t="s">
        <v>396</v>
      </c>
      <c r="Q295">
        <v>0.78425199999999995</v>
      </c>
      <c r="R295">
        <v>0.51192000000000004</v>
      </c>
      <c r="S295" s="16">
        <v>8.6228239999999996</v>
      </c>
      <c r="T295" s="18">
        <v>1100418212</v>
      </c>
      <c r="U295" s="13">
        <f t="shared" si="10"/>
        <v>0.40085368897047446</v>
      </c>
    </row>
    <row r="296" spans="1:21" x14ac:dyDescent="0.2">
      <c r="A296" s="12" t="s">
        <v>134</v>
      </c>
      <c r="B296" s="1" t="s">
        <v>55</v>
      </c>
      <c r="C296" s="1" t="s">
        <v>347</v>
      </c>
      <c r="D296" s="1" t="s">
        <v>30</v>
      </c>
      <c r="E296" s="1" t="s">
        <v>105</v>
      </c>
      <c r="F296" s="1" t="s">
        <v>53</v>
      </c>
      <c r="G296" s="2">
        <v>44642</v>
      </c>
      <c r="H296" s="9">
        <v>0.9</v>
      </c>
      <c r="I296" s="2">
        <v>38443</v>
      </c>
      <c r="J296" s="2" t="s">
        <v>55</v>
      </c>
      <c r="K296" s="6">
        <v>17</v>
      </c>
      <c r="L296" s="1" t="s">
        <v>56</v>
      </c>
      <c r="M296" s="1" t="s">
        <v>54</v>
      </c>
      <c r="N296" s="1" t="s">
        <v>392</v>
      </c>
      <c r="O296" s="1" t="s">
        <v>392</v>
      </c>
      <c r="P296" s="1" t="s">
        <v>396</v>
      </c>
      <c r="Q296">
        <v>0.80086500000000005</v>
      </c>
      <c r="R296">
        <v>0.62116400000000005</v>
      </c>
      <c r="S296" s="16">
        <v>10.064845999999999</v>
      </c>
      <c r="T296" s="18">
        <v>1409070120</v>
      </c>
      <c r="U296" s="13">
        <f t="shared" si="10"/>
        <v>0.51328753873810762</v>
      </c>
    </row>
    <row r="297" spans="1:21" x14ac:dyDescent="0.2">
      <c r="A297" s="12" t="s">
        <v>135</v>
      </c>
      <c r="B297" s="1" t="s">
        <v>55</v>
      </c>
      <c r="C297" s="1" t="s">
        <v>347</v>
      </c>
      <c r="D297" s="1" t="s">
        <v>30</v>
      </c>
      <c r="E297" s="1" t="s">
        <v>105</v>
      </c>
      <c r="F297" s="1" t="s">
        <v>53</v>
      </c>
      <c r="G297" s="2">
        <v>44642</v>
      </c>
      <c r="H297" s="9">
        <v>0.9</v>
      </c>
      <c r="I297" s="2">
        <v>38443</v>
      </c>
      <c r="J297" s="2" t="s">
        <v>55</v>
      </c>
      <c r="K297" s="6">
        <v>17</v>
      </c>
      <c r="L297" s="1" t="s">
        <v>56</v>
      </c>
      <c r="M297" s="1" t="s">
        <v>54</v>
      </c>
      <c r="N297" s="1" t="s">
        <v>392</v>
      </c>
      <c r="O297" s="1" t="s">
        <v>392</v>
      </c>
      <c r="P297" s="1" t="s">
        <v>396</v>
      </c>
      <c r="Q297">
        <v>0.92704399999999998</v>
      </c>
      <c r="R297">
        <v>0.76745200000000002</v>
      </c>
      <c r="S297" s="16">
        <v>10.319613</v>
      </c>
      <c r="T297" s="18">
        <v>1687948921</v>
      </c>
      <c r="U297" s="13">
        <f t="shared" si="10"/>
        <v>0.61487582120876605</v>
      </c>
    </row>
    <row r="298" spans="1:21" x14ac:dyDescent="0.2">
      <c r="A298" s="12" t="s">
        <v>136</v>
      </c>
      <c r="B298" s="1" t="s">
        <v>55</v>
      </c>
      <c r="C298" s="1" t="s">
        <v>347</v>
      </c>
      <c r="D298" s="1" t="s">
        <v>30</v>
      </c>
      <c r="E298" s="1" t="s">
        <v>105</v>
      </c>
      <c r="F298" s="1" t="s">
        <v>53</v>
      </c>
      <c r="G298" s="2">
        <v>44642</v>
      </c>
      <c r="H298" s="9">
        <v>0.9</v>
      </c>
      <c r="I298" s="2">
        <v>38443</v>
      </c>
      <c r="J298" s="2" t="s">
        <v>55</v>
      </c>
      <c r="K298" s="6">
        <v>17</v>
      </c>
      <c r="L298" s="1" t="s">
        <v>56</v>
      </c>
      <c r="M298" s="1" t="s">
        <v>54</v>
      </c>
      <c r="N298" s="1" t="s">
        <v>392</v>
      </c>
      <c r="O298" s="1" t="s">
        <v>392</v>
      </c>
      <c r="P298" s="1" t="s">
        <v>396</v>
      </c>
      <c r="Q298">
        <v>0.92778300000000002</v>
      </c>
      <c r="R298">
        <v>0.70208300000000001</v>
      </c>
      <c r="S298" s="16">
        <v>8.6738789999999995</v>
      </c>
      <c r="T298" s="18">
        <v>1427999379</v>
      </c>
      <c r="U298" s="13">
        <f t="shared" si="10"/>
        <v>0.52018297468862384</v>
      </c>
    </row>
    <row r="299" spans="1:21" x14ac:dyDescent="0.2">
      <c r="A299" s="12" t="s">
        <v>137</v>
      </c>
      <c r="B299" s="1" t="s">
        <v>55</v>
      </c>
      <c r="C299" s="1" t="s">
        <v>347</v>
      </c>
      <c r="D299" s="1" t="s">
        <v>30</v>
      </c>
      <c r="E299" s="1" t="s">
        <v>105</v>
      </c>
      <c r="F299" s="1" t="s">
        <v>53</v>
      </c>
      <c r="G299" s="2">
        <v>44642</v>
      </c>
      <c r="H299" s="9">
        <v>0.9</v>
      </c>
      <c r="I299" s="2">
        <v>38443</v>
      </c>
      <c r="J299" s="2" t="s">
        <v>55</v>
      </c>
      <c r="K299" s="6">
        <v>17</v>
      </c>
      <c r="L299" s="1" t="s">
        <v>56</v>
      </c>
      <c r="M299" s="1" t="s">
        <v>54</v>
      </c>
      <c r="N299" s="1" t="s">
        <v>392</v>
      </c>
      <c r="O299" s="1" t="s">
        <v>392</v>
      </c>
      <c r="P299" s="1" t="s">
        <v>396</v>
      </c>
      <c r="Q299">
        <v>0.90697899999999998</v>
      </c>
      <c r="R299">
        <v>0.75752900000000001</v>
      </c>
      <c r="S299" s="16">
        <v>10.697832</v>
      </c>
      <c r="T299" s="18">
        <v>1709801797</v>
      </c>
      <c r="U299" s="13">
        <f t="shared" si="10"/>
        <v>0.62283625467277914</v>
      </c>
    </row>
    <row r="300" spans="1:21" x14ac:dyDescent="0.2">
      <c r="A300" s="12" t="s">
        <v>138</v>
      </c>
      <c r="B300" s="1" t="s">
        <v>55</v>
      </c>
      <c r="C300" s="1" t="s">
        <v>347</v>
      </c>
      <c r="D300" s="1" t="s">
        <v>30</v>
      </c>
      <c r="E300" s="1" t="s">
        <v>105</v>
      </c>
      <c r="F300" s="1" t="s">
        <v>53</v>
      </c>
      <c r="G300" s="2">
        <v>44642</v>
      </c>
      <c r="H300" s="9">
        <v>0.9</v>
      </c>
      <c r="I300" s="2">
        <v>38443</v>
      </c>
      <c r="J300" s="2" t="s">
        <v>55</v>
      </c>
      <c r="K300" s="6">
        <v>17</v>
      </c>
      <c r="L300" s="1" t="s">
        <v>56</v>
      </c>
      <c r="M300" s="1" t="s">
        <v>54</v>
      </c>
      <c r="N300" s="1" t="s">
        <v>390</v>
      </c>
      <c r="O300" s="1" t="s">
        <v>390</v>
      </c>
      <c r="P300" s="1" t="s">
        <v>396</v>
      </c>
      <c r="Q300">
        <v>0.96519999999999995</v>
      </c>
      <c r="R300">
        <v>0.83745099999999995</v>
      </c>
      <c r="S300" s="16">
        <v>10.284698000000001</v>
      </c>
      <c r="T300" s="18">
        <v>1873778007</v>
      </c>
      <c r="U300" s="13">
        <f t="shared" si="10"/>
        <v>0.68256851643027294</v>
      </c>
    </row>
    <row r="301" spans="1:21" x14ac:dyDescent="0.2">
      <c r="A301" s="12" t="s">
        <v>139</v>
      </c>
      <c r="B301" s="1" t="s">
        <v>55</v>
      </c>
      <c r="C301" s="1" t="s">
        <v>347</v>
      </c>
      <c r="D301" s="1" t="s">
        <v>30</v>
      </c>
      <c r="E301" s="1" t="s">
        <v>105</v>
      </c>
      <c r="F301" s="1" t="s">
        <v>53</v>
      </c>
      <c r="G301" s="2">
        <v>44642</v>
      </c>
      <c r="H301" s="9">
        <v>0.9</v>
      </c>
      <c r="I301" s="2">
        <v>38443</v>
      </c>
      <c r="J301" s="2" t="s">
        <v>55</v>
      </c>
      <c r="K301" s="6">
        <v>17</v>
      </c>
      <c r="L301" s="1" t="s">
        <v>56</v>
      </c>
      <c r="M301" s="1" t="s">
        <v>54</v>
      </c>
      <c r="N301" s="1" t="s">
        <v>390</v>
      </c>
      <c r="O301" s="1" t="s">
        <v>390</v>
      </c>
      <c r="P301" s="1" t="s">
        <v>396</v>
      </c>
      <c r="Q301">
        <v>0.96095799999999998</v>
      </c>
      <c r="R301">
        <v>0.80245500000000003</v>
      </c>
      <c r="S301" s="16">
        <v>9.6370199999999997</v>
      </c>
      <c r="T301" s="18">
        <v>1726538862</v>
      </c>
      <c r="U301" s="13">
        <f t="shared" si="10"/>
        <v>0.62893313145528429</v>
      </c>
    </row>
    <row r="302" spans="1:21" x14ac:dyDescent="0.2">
      <c r="A302" s="12" t="s">
        <v>140</v>
      </c>
      <c r="B302" s="1" t="s">
        <v>55</v>
      </c>
      <c r="C302" s="1" t="s">
        <v>347</v>
      </c>
      <c r="D302" s="1" t="s">
        <v>30</v>
      </c>
      <c r="E302" s="1" t="s">
        <v>105</v>
      </c>
      <c r="F302" s="1" t="s">
        <v>53</v>
      </c>
      <c r="G302" s="2">
        <v>44642</v>
      </c>
      <c r="H302" s="9">
        <v>0.9</v>
      </c>
      <c r="I302" s="2">
        <v>38443</v>
      </c>
      <c r="J302" s="2" t="s">
        <v>55</v>
      </c>
      <c r="K302" s="6">
        <v>17</v>
      </c>
      <c r="L302" s="1" t="s">
        <v>56</v>
      </c>
      <c r="M302" s="1" t="s">
        <v>54</v>
      </c>
      <c r="N302" s="1" t="s">
        <v>391</v>
      </c>
      <c r="O302" s="1" t="s">
        <v>391</v>
      </c>
      <c r="P302" s="1" t="s">
        <v>396</v>
      </c>
      <c r="Q302">
        <v>0.95343100000000003</v>
      </c>
      <c r="R302">
        <v>0.78159400000000001</v>
      </c>
      <c r="S302" s="16">
        <v>10.303613</v>
      </c>
      <c r="T302" s="18">
        <v>1768127219</v>
      </c>
      <c r="U302" s="13">
        <f t="shared" si="10"/>
        <v>0.64408268654250156</v>
      </c>
    </row>
    <row r="303" spans="1:21" x14ac:dyDescent="0.2">
      <c r="A303" s="12" t="s">
        <v>141</v>
      </c>
      <c r="B303" s="1" t="s">
        <v>55</v>
      </c>
      <c r="C303" s="1" t="s">
        <v>347</v>
      </c>
      <c r="D303" s="1" t="s">
        <v>30</v>
      </c>
      <c r="E303" s="1" t="s">
        <v>105</v>
      </c>
      <c r="F303" s="1" t="s">
        <v>53</v>
      </c>
      <c r="G303" s="2">
        <v>44642</v>
      </c>
      <c r="H303" s="9">
        <v>0.9</v>
      </c>
      <c r="I303" s="2">
        <v>38443</v>
      </c>
      <c r="J303" s="2" t="s">
        <v>55</v>
      </c>
      <c r="K303" s="6">
        <v>17</v>
      </c>
      <c r="L303" s="1" t="s">
        <v>56</v>
      </c>
      <c r="M303" s="1" t="s">
        <v>54</v>
      </c>
      <c r="N303" s="1" t="s">
        <v>391</v>
      </c>
      <c r="O303" s="1" t="s">
        <v>390</v>
      </c>
      <c r="P303" s="1" t="s">
        <v>396</v>
      </c>
      <c r="Q303">
        <v>0.95037000000000005</v>
      </c>
      <c r="R303">
        <v>0.76165300000000002</v>
      </c>
      <c r="S303" s="16">
        <v>9.5282750000000007</v>
      </c>
      <c r="T303" s="18">
        <v>1601866665</v>
      </c>
      <c r="U303" s="13">
        <f t="shared" si="10"/>
        <v>0.58351829777248476</v>
      </c>
    </row>
    <row r="304" spans="1:21" x14ac:dyDescent="0.2">
      <c r="A304" s="12" t="s">
        <v>142</v>
      </c>
      <c r="B304" s="1" t="s">
        <v>55</v>
      </c>
      <c r="C304" s="1" t="s">
        <v>347</v>
      </c>
      <c r="D304" s="1" t="s">
        <v>30</v>
      </c>
      <c r="E304" s="1" t="s">
        <v>105</v>
      </c>
      <c r="F304" s="1" t="s">
        <v>53</v>
      </c>
      <c r="G304" s="2">
        <v>44642</v>
      </c>
      <c r="H304" s="9">
        <v>0.9</v>
      </c>
      <c r="I304" s="2">
        <v>38443</v>
      </c>
      <c r="J304" s="2" t="s">
        <v>55</v>
      </c>
      <c r="K304" s="6">
        <v>17</v>
      </c>
      <c r="L304" s="1" t="s">
        <v>56</v>
      </c>
      <c r="M304" s="1" t="s">
        <v>54</v>
      </c>
      <c r="N304" s="1" t="s">
        <v>390</v>
      </c>
      <c r="O304" s="1" t="s">
        <v>390</v>
      </c>
      <c r="P304" s="1" t="s">
        <v>396</v>
      </c>
      <c r="Q304">
        <v>0.95993700000000004</v>
      </c>
      <c r="R304">
        <v>0.80527400000000005</v>
      </c>
      <c r="S304" s="16">
        <v>9.8107860000000002</v>
      </c>
      <c r="T304" s="18">
        <v>1733695027</v>
      </c>
      <c r="U304" s="13">
        <f t="shared" si="10"/>
        <v>0.63153993594820323</v>
      </c>
    </row>
    <row r="305" spans="1:21" x14ac:dyDescent="0.2">
      <c r="A305" s="12" t="s">
        <v>143</v>
      </c>
      <c r="B305" s="1" t="s">
        <v>55</v>
      </c>
      <c r="C305" s="1" t="s">
        <v>347</v>
      </c>
      <c r="D305" s="1" t="s">
        <v>30</v>
      </c>
      <c r="E305" s="1" t="s">
        <v>105</v>
      </c>
      <c r="F305" s="1" t="s">
        <v>53</v>
      </c>
      <c r="G305" s="2">
        <v>44642</v>
      </c>
      <c r="H305" s="9">
        <v>0.9</v>
      </c>
      <c r="I305" s="2">
        <v>38443</v>
      </c>
      <c r="J305" s="2" t="s">
        <v>55</v>
      </c>
      <c r="K305" s="6">
        <v>17</v>
      </c>
      <c r="L305" s="1" t="s">
        <v>56</v>
      </c>
      <c r="M305" s="1" t="s">
        <v>54</v>
      </c>
      <c r="N305" s="1" t="s">
        <v>392</v>
      </c>
      <c r="O305" s="1" t="s">
        <v>392</v>
      </c>
      <c r="P305" s="1" t="s">
        <v>396</v>
      </c>
      <c r="Q305">
        <v>0.94140400000000002</v>
      </c>
      <c r="R305">
        <v>0.78168300000000002</v>
      </c>
      <c r="S305" s="16">
        <v>10.544326</v>
      </c>
      <c r="T305" s="18">
        <v>1732277124</v>
      </c>
      <c r="U305" s="13">
        <f t="shared" si="10"/>
        <v>0.6310234308213758</v>
      </c>
    </row>
    <row r="306" spans="1:21" x14ac:dyDescent="0.2">
      <c r="A306" s="12" t="s">
        <v>144</v>
      </c>
      <c r="B306" s="1" t="s">
        <v>55</v>
      </c>
      <c r="C306" s="1" t="s">
        <v>347</v>
      </c>
      <c r="D306" s="1" t="s">
        <v>30</v>
      </c>
      <c r="E306" s="1" t="s">
        <v>105</v>
      </c>
      <c r="F306" s="1" t="s">
        <v>53</v>
      </c>
      <c r="G306" s="2">
        <v>44642</v>
      </c>
      <c r="H306" s="9">
        <v>0.9</v>
      </c>
      <c r="I306" s="2">
        <v>38443</v>
      </c>
      <c r="J306" s="2" t="s">
        <v>55</v>
      </c>
      <c r="K306" s="6">
        <v>17</v>
      </c>
      <c r="L306" s="1" t="s">
        <v>56</v>
      </c>
      <c r="M306" s="1" t="s">
        <v>54</v>
      </c>
      <c r="N306" s="1" t="s">
        <v>390</v>
      </c>
      <c r="O306" s="1" t="s">
        <v>390</v>
      </c>
      <c r="P306" s="1" t="s">
        <v>396</v>
      </c>
      <c r="Q306">
        <v>0.94199699999999997</v>
      </c>
      <c r="R306">
        <v>0.75346400000000002</v>
      </c>
      <c r="S306" s="16">
        <v>10.114084999999999</v>
      </c>
      <c r="T306" s="18">
        <v>1637014370</v>
      </c>
      <c r="U306" s="13">
        <f t="shared" si="10"/>
        <v>0.59632169111372102</v>
      </c>
    </row>
    <row r="307" spans="1:21" x14ac:dyDescent="0.2">
      <c r="A307" s="12" t="s">
        <v>145</v>
      </c>
      <c r="B307" s="1" t="s">
        <v>55</v>
      </c>
      <c r="C307" s="1" t="s">
        <v>347</v>
      </c>
      <c r="D307" s="1" t="s">
        <v>30</v>
      </c>
      <c r="E307" s="1" t="s">
        <v>105</v>
      </c>
      <c r="F307" s="1" t="s">
        <v>53</v>
      </c>
      <c r="G307" s="2">
        <v>44642</v>
      </c>
      <c r="H307" s="9">
        <v>0.9</v>
      </c>
      <c r="I307" s="2">
        <v>38443</v>
      </c>
      <c r="J307" s="2" t="s">
        <v>55</v>
      </c>
      <c r="K307" s="6">
        <v>17</v>
      </c>
      <c r="L307" s="1" t="s">
        <v>56</v>
      </c>
      <c r="M307" s="1" t="s">
        <v>54</v>
      </c>
      <c r="N307" s="1" t="s">
        <v>390</v>
      </c>
      <c r="O307" s="1" t="s">
        <v>390</v>
      </c>
      <c r="P307" s="1" t="s">
        <v>396</v>
      </c>
      <c r="Q307">
        <v>0.95537899999999998</v>
      </c>
      <c r="R307">
        <v>0.78923299999999996</v>
      </c>
      <c r="S307" s="16">
        <v>9.610716</v>
      </c>
      <c r="T307" s="18">
        <v>1690379704</v>
      </c>
      <c r="U307" s="13">
        <f t="shared" si="10"/>
        <v>0.61576129213428421</v>
      </c>
    </row>
    <row r="308" spans="1:21" x14ac:dyDescent="0.2">
      <c r="A308" s="12" t="s">
        <v>146</v>
      </c>
      <c r="B308" s="1" t="s">
        <v>55</v>
      </c>
      <c r="C308" s="1" t="s">
        <v>347</v>
      </c>
      <c r="D308" s="1" t="s">
        <v>30</v>
      </c>
      <c r="E308" s="1" t="s">
        <v>105</v>
      </c>
      <c r="F308" s="1" t="s">
        <v>53</v>
      </c>
      <c r="G308" s="2">
        <v>44642</v>
      </c>
      <c r="H308" s="9">
        <v>0.9</v>
      </c>
      <c r="I308" s="2">
        <v>38443</v>
      </c>
      <c r="J308" s="2" t="s">
        <v>55</v>
      </c>
      <c r="K308" s="6">
        <v>17</v>
      </c>
      <c r="L308" s="1" t="s">
        <v>56</v>
      </c>
      <c r="M308" s="1" t="s">
        <v>54</v>
      </c>
      <c r="N308" s="1" t="s">
        <v>390</v>
      </c>
      <c r="O308" s="1" t="s">
        <v>390</v>
      </c>
      <c r="P308" s="1" t="s">
        <v>396</v>
      </c>
      <c r="Q308">
        <v>0.96417399999999998</v>
      </c>
      <c r="R308">
        <v>0.81580399999999997</v>
      </c>
      <c r="S308" s="16">
        <v>9.3977620000000002</v>
      </c>
      <c r="T308" s="18">
        <v>1745929107</v>
      </c>
      <c r="U308" s="13">
        <f t="shared" si="10"/>
        <v>0.63599649259701296</v>
      </c>
    </row>
    <row r="309" spans="1:21" x14ac:dyDescent="0.2">
      <c r="A309" s="12" t="s">
        <v>147</v>
      </c>
      <c r="B309" s="1" t="s">
        <v>55</v>
      </c>
      <c r="C309" s="1" t="s">
        <v>347</v>
      </c>
      <c r="D309" s="1" t="s">
        <v>30</v>
      </c>
      <c r="E309" s="1" t="s">
        <v>105</v>
      </c>
      <c r="F309" s="1" t="s">
        <v>53</v>
      </c>
      <c r="G309" s="2">
        <v>44642</v>
      </c>
      <c r="H309" s="9">
        <v>0.9</v>
      </c>
      <c r="I309" s="2">
        <v>38443</v>
      </c>
      <c r="J309" s="2" t="s">
        <v>55</v>
      </c>
      <c r="K309" s="6">
        <v>17</v>
      </c>
      <c r="L309" s="1" t="s">
        <v>56</v>
      </c>
      <c r="M309" s="1" t="s">
        <v>54</v>
      </c>
      <c r="N309" s="1" t="s">
        <v>390</v>
      </c>
      <c r="O309" s="1" t="s">
        <v>390</v>
      </c>
      <c r="P309" s="1" t="s">
        <v>396</v>
      </c>
      <c r="Q309">
        <v>0.95452400000000004</v>
      </c>
      <c r="R309">
        <v>0.74512</v>
      </c>
      <c r="S309" s="16">
        <v>8.2128399999999999</v>
      </c>
      <c r="T309" s="18">
        <v>1440852782</v>
      </c>
      <c r="U309" s="13">
        <f t="shared" si="10"/>
        <v>0.52486513457310069</v>
      </c>
    </row>
    <row r="310" spans="1:21" x14ac:dyDescent="0.2">
      <c r="A310" s="12" t="s">
        <v>148</v>
      </c>
      <c r="B310" s="1" t="s">
        <v>55</v>
      </c>
      <c r="C310" s="1" t="s">
        <v>347</v>
      </c>
      <c r="D310" s="1" t="s">
        <v>30</v>
      </c>
      <c r="E310" s="1" t="s">
        <v>105</v>
      </c>
      <c r="F310" s="1" t="s">
        <v>53</v>
      </c>
      <c r="G310" s="2">
        <v>44642</v>
      </c>
      <c r="H310" s="9">
        <v>0.9</v>
      </c>
      <c r="I310" s="2">
        <v>38443</v>
      </c>
      <c r="J310" s="2" t="s">
        <v>55</v>
      </c>
      <c r="K310" s="6">
        <v>17</v>
      </c>
      <c r="L310" s="1" t="s">
        <v>56</v>
      </c>
      <c r="M310" s="1" t="s">
        <v>54</v>
      </c>
      <c r="N310" s="1" t="s">
        <v>390</v>
      </c>
      <c r="O310" s="1" t="s">
        <v>390</v>
      </c>
      <c r="P310" s="1" t="s">
        <v>396</v>
      </c>
      <c r="Q310">
        <v>0.95656399999999997</v>
      </c>
      <c r="R310">
        <v>0.80766099999999996</v>
      </c>
      <c r="S310" s="16">
        <v>10.224460000000001</v>
      </c>
      <c r="T310" s="18">
        <v>1772437766</v>
      </c>
      <c r="U310" s="13">
        <f t="shared" si="10"/>
        <v>0.64565290652576601</v>
      </c>
    </row>
    <row r="311" spans="1:21" x14ac:dyDescent="0.2">
      <c r="A311" s="12" t="s">
        <v>149</v>
      </c>
      <c r="B311" s="1" t="s">
        <v>55</v>
      </c>
      <c r="C311" s="1" t="s">
        <v>347</v>
      </c>
      <c r="D311" s="1" t="s">
        <v>30</v>
      </c>
      <c r="E311" s="1" t="s">
        <v>105</v>
      </c>
      <c r="F311" s="1" t="s">
        <v>53</v>
      </c>
      <c r="G311" s="2">
        <v>44642</v>
      </c>
      <c r="H311" s="9">
        <v>0.9</v>
      </c>
      <c r="I311" s="2">
        <v>38443</v>
      </c>
      <c r="J311" s="2" t="s">
        <v>55</v>
      </c>
      <c r="K311" s="6">
        <v>17</v>
      </c>
      <c r="L311" s="1" t="s">
        <v>56</v>
      </c>
      <c r="M311" s="1" t="s">
        <v>54</v>
      </c>
      <c r="N311" s="1" t="s">
        <v>390</v>
      </c>
      <c r="O311" s="1" t="s">
        <v>390</v>
      </c>
      <c r="P311" s="1" t="s">
        <v>396</v>
      </c>
      <c r="Q311">
        <v>0.93763300000000005</v>
      </c>
      <c r="R311">
        <v>0.75078900000000004</v>
      </c>
      <c r="S311" s="16">
        <v>10.323655</v>
      </c>
      <c r="T311" s="18">
        <v>1647511263</v>
      </c>
      <c r="U311" s="13">
        <f t="shared" si="10"/>
        <v>0.60014543579178381</v>
      </c>
    </row>
    <row r="312" spans="1:21" x14ac:dyDescent="0.2">
      <c r="A312" s="12" t="s">
        <v>150</v>
      </c>
      <c r="B312" s="1" t="s">
        <v>55</v>
      </c>
      <c r="C312" s="1" t="s">
        <v>347</v>
      </c>
      <c r="D312" s="1" t="s">
        <v>30</v>
      </c>
      <c r="E312" s="1" t="s">
        <v>105</v>
      </c>
      <c r="F312" s="1" t="s">
        <v>53</v>
      </c>
      <c r="G312" s="2">
        <v>44642</v>
      </c>
      <c r="H312" s="9">
        <v>0.9</v>
      </c>
      <c r="I312" s="2">
        <v>38443</v>
      </c>
      <c r="J312" s="2" t="s">
        <v>55</v>
      </c>
      <c r="K312" s="6">
        <v>17</v>
      </c>
      <c r="L312" s="1" t="s">
        <v>56</v>
      </c>
      <c r="M312" s="1" t="s">
        <v>54</v>
      </c>
      <c r="N312" s="1" t="s">
        <v>390</v>
      </c>
      <c r="O312" s="1" t="s">
        <v>390</v>
      </c>
      <c r="P312" s="1" t="s">
        <v>396</v>
      </c>
      <c r="Q312">
        <v>0.94989999999999997</v>
      </c>
      <c r="R312">
        <v>0.72201000000000004</v>
      </c>
      <c r="S312" s="16">
        <v>8.1059190000000001</v>
      </c>
      <c r="T312" s="18">
        <v>1405761939</v>
      </c>
      <c r="U312" s="13">
        <f t="shared" si="10"/>
        <v>0.51208245457722135</v>
      </c>
    </row>
    <row r="313" spans="1:21" x14ac:dyDescent="0.2">
      <c r="A313" s="12" t="s">
        <v>151</v>
      </c>
      <c r="B313" s="1" t="s">
        <v>55</v>
      </c>
      <c r="C313" s="1" t="s">
        <v>347</v>
      </c>
      <c r="D313" s="1" t="s">
        <v>30</v>
      </c>
      <c r="E313" s="1" t="s">
        <v>105</v>
      </c>
      <c r="F313" s="1" t="s">
        <v>53</v>
      </c>
      <c r="G313" s="2">
        <v>44642</v>
      </c>
      <c r="H313" s="9">
        <v>0.9</v>
      </c>
      <c r="I313" s="2">
        <v>38443</v>
      </c>
      <c r="J313" s="2" t="s">
        <v>55</v>
      </c>
      <c r="K313" s="6">
        <v>17</v>
      </c>
      <c r="L313" s="1" t="s">
        <v>56</v>
      </c>
      <c r="M313" s="1" t="s">
        <v>54</v>
      </c>
      <c r="N313" s="1" t="s">
        <v>390</v>
      </c>
      <c r="O313" s="1" t="s">
        <v>390</v>
      </c>
      <c r="P313" s="1" t="s">
        <v>396</v>
      </c>
      <c r="Q313">
        <v>0.96202200000000004</v>
      </c>
      <c r="R313">
        <v>0.78480700000000003</v>
      </c>
      <c r="S313" s="16">
        <v>9.6491030000000002</v>
      </c>
      <c r="T313" s="18">
        <v>1647000281</v>
      </c>
      <c r="U313" s="13">
        <f>T313/2745186691</f>
        <v>0.5999592983601566</v>
      </c>
    </row>
    <row r="314" spans="1:21" x14ac:dyDescent="0.2">
      <c r="A314" s="12" t="s">
        <v>152</v>
      </c>
      <c r="B314" s="1" t="s">
        <v>55</v>
      </c>
      <c r="C314" s="1" t="s">
        <v>347</v>
      </c>
      <c r="D314" s="1" t="s">
        <v>30</v>
      </c>
      <c r="E314" s="1" t="s">
        <v>105</v>
      </c>
      <c r="F314" s="1" t="s">
        <v>53</v>
      </c>
      <c r="G314" s="2">
        <v>44642</v>
      </c>
      <c r="H314" s="9">
        <v>0.9</v>
      </c>
      <c r="I314" s="2">
        <v>38443</v>
      </c>
      <c r="J314" s="2" t="s">
        <v>55</v>
      </c>
      <c r="K314" s="6">
        <v>17</v>
      </c>
      <c r="L314" s="1" t="s">
        <v>56</v>
      </c>
      <c r="M314" s="1" t="s">
        <v>54</v>
      </c>
      <c r="N314" s="1" t="s">
        <v>390</v>
      </c>
      <c r="O314" s="1" t="s">
        <v>390</v>
      </c>
      <c r="P314" s="1" t="s">
        <v>396</v>
      </c>
      <c r="Q314">
        <v>0.96651500000000001</v>
      </c>
      <c r="R314">
        <v>0.85833000000000004</v>
      </c>
      <c r="S314" s="16">
        <v>10.959650999999999</v>
      </c>
      <c r="T314" s="18">
        <v>1959038242</v>
      </c>
      <c r="U314" s="13">
        <f t="shared" ref="U314:U336" si="11">T314/2745186691</f>
        <v>0.71362659902972703</v>
      </c>
    </row>
    <row r="315" spans="1:21" x14ac:dyDescent="0.2">
      <c r="A315" s="12" t="s">
        <v>153</v>
      </c>
      <c r="B315" s="1" t="s">
        <v>55</v>
      </c>
      <c r="C315" s="1" t="s">
        <v>347</v>
      </c>
      <c r="D315" s="1" t="s">
        <v>30</v>
      </c>
      <c r="E315" s="1" t="s">
        <v>105</v>
      </c>
      <c r="F315" s="1" t="s">
        <v>53</v>
      </c>
      <c r="G315" s="2">
        <v>44642</v>
      </c>
      <c r="H315" s="9">
        <v>0.9</v>
      </c>
      <c r="I315" s="2">
        <v>38443</v>
      </c>
      <c r="J315" s="2" t="s">
        <v>55</v>
      </c>
      <c r="K315" s="6">
        <v>17</v>
      </c>
      <c r="L315" s="1" t="s">
        <v>56</v>
      </c>
      <c r="M315" s="1" t="s">
        <v>54</v>
      </c>
      <c r="N315" s="1" t="s">
        <v>390</v>
      </c>
      <c r="O315" s="1" t="s">
        <v>390</v>
      </c>
      <c r="P315" s="1" t="s">
        <v>396</v>
      </c>
      <c r="Q315">
        <v>0.96373900000000001</v>
      </c>
      <c r="R315">
        <v>0.82778099999999999</v>
      </c>
      <c r="S315" s="16">
        <v>10.434412999999999</v>
      </c>
      <c r="T315" s="18">
        <v>1837214492</v>
      </c>
      <c r="U315" s="13">
        <f t="shared" si="11"/>
        <v>0.66924938038758686</v>
      </c>
    </row>
    <row r="316" spans="1:21" x14ac:dyDescent="0.2">
      <c r="A316" s="12" t="s">
        <v>154</v>
      </c>
      <c r="B316" s="1" t="s">
        <v>55</v>
      </c>
      <c r="C316" s="1" t="s">
        <v>347</v>
      </c>
      <c r="D316" s="1" t="s">
        <v>30</v>
      </c>
      <c r="E316" s="1" t="s">
        <v>105</v>
      </c>
      <c r="F316" s="1" t="s">
        <v>53</v>
      </c>
      <c r="G316" s="2">
        <v>44642</v>
      </c>
      <c r="H316" s="9">
        <v>0.9</v>
      </c>
      <c r="I316" s="2">
        <v>38443</v>
      </c>
      <c r="J316" s="2" t="s">
        <v>55</v>
      </c>
      <c r="K316" s="6">
        <v>17</v>
      </c>
      <c r="L316" s="1" t="s">
        <v>56</v>
      </c>
      <c r="M316" s="1" t="s">
        <v>54</v>
      </c>
      <c r="N316" s="1" t="s">
        <v>390</v>
      </c>
      <c r="O316" s="1" t="s">
        <v>390</v>
      </c>
      <c r="P316" s="1" t="s">
        <v>396</v>
      </c>
      <c r="Q316">
        <v>0.96001099999999995</v>
      </c>
      <c r="R316">
        <v>0.81020800000000004</v>
      </c>
      <c r="S316" s="16">
        <v>9.9988279999999996</v>
      </c>
      <c r="T316" s="18">
        <v>1759489114</v>
      </c>
      <c r="U316" s="13">
        <f t="shared" si="11"/>
        <v>0.64093604991180542</v>
      </c>
    </row>
    <row r="317" spans="1:21" x14ac:dyDescent="0.2">
      <c r="A317" s="12" t="s">
        <v>155</v>
      </c>
      <c r="B317" s="1" t="s">
        <v>55</v>
      </c>
      <c r="C317" s="1" t="s">
        <v>347</v>
      </c>
      <c r="D317" s="1" t="s">
        <v>30</v>
      </c>
      <c r="E317" s="1" t="s">
        <v>105</v>
      </c>
      <c r="F317" s="1" t="s">
        <v>53</v>
      </c>
      <c r="G317" s="2">
        <v>44642</v>
      </c>
      <c r="H317" s="9">
        <v>0.9</v>
      </c>
      <c r="I317" s="2">
        <v>38443</v>
      </c>
      <c r="J317" s="2" t="s">
        <v>55</v>
      </c>
      <c r="K317" s="6">
        <v>17</v>
      </c>
      <c r="L317" s="1" t="s">
        <v>56</v>
      </c>
      <c r="M317" s="1" t="s">
        <v>54</v>
      </c>
      <c r="N317" s="1" t="s">
        <v>391</v>
      </c>
      <c r="O317" s="1" t="s">
        <v>390</v>
      </c>
      <c r="P317" s="1" t="s">
        <v>396</v>
      </c>
      <c r="Q317">
        <v>0.95785900000000002</v>
      </c>
      <c r="R317">
        <v>0.76139000000000001</v>
      </c>
      <c r="S317" s="16">
        <v>9.0142869999999995</v>
      </c>
      <c r="T317" s="18">
        <v>1547169561</v>
      </c>
      <c r="U317" s="13">
        <f t="shared" si="11"/>
        <v>0.56359356763324775</v>
      </c>
    </row>
    <row r="318" spans="1:21" x14ac:dyDescent="0.2">
      <c r="A318" s="12" t="s">
        <v>156</v>
      </c>
      <c r="B318" s="1" t="s">
        <v>55</v>
      </c>
      <c r="C318" s="1" t="s">
        <v>347</v>
      </c>
      <c r="D318" s="1" t="s">
        <v>30</v>
      </c>
      <c r="E318" s="1" t="s">
        <v>105</v>
      </c>
      <c r="F318" s="1" t="s">
        <v>53</v>
      </c>
      <c r="G318" s="2">
        <v>44642</v>
      </c>
      <c r="H318" s="9">
        <v>0.9</v>
      </c>
      <c r="I318" s="2">
        <v>38443</v>
      </c>
      <c r="J318" s="2" t="s">
        <v>55</v>
      </c>
      <c r="K318" s="6">
        <v>17</v>
      </c>
      <c r="L318" s="1" t="s">
        <v>56</v>
      </c>
      <c r="M318" s="1" t="s">
        <v>54</v>
      </c>
      <c r="N318" s="1" t="s">
        <v>390</v>
      </c>
      <c r="O318" s="1" t="s">
        <v>390</v>
      </c>
      <c r="P318" s="1" t="s">
        <v>396</v>
      </c>
      <c r="Q318">
        <v>0.96003300000000003</v>
      </c>
      <c r="R318">
        <v>0.81912700000000005</v>
      </c>
      <c r="S318" s="16">
        <v>10.174162000000001</v>
      </c>
      <c r="T318" s="18">
        <v>1804600195</v>
      </c>
      <c r="U318" s="13">
        <f t="shared" si="11"/>
        <v>0.65736884158600928</v>
      </c>
    </row>
    <row r="319" spans="1:21" x14ac:dyDescent="0.2">
      <c r="A319" s="12" t="s">
        <v>157</v>
      </c>
      <c r="B319" s="1" t="s">
        <v>55</v>
      </c>
      <c r="C319" s="1" t="s">
        <v>347</v>
      </c>
      <c r="D319" s="1" t="s">
        <v>30</v>
      </c>
      <c r="E319" s="1" t="s">
        <v>105</v>
      </c>
      <c r="F319" s="1" t="s">
        <v>32</v>
      </c>
      <c r="G319" s="2">
        <v>44643</v>
      </c>
      <c r="H319" s="9">
        <v>0</v>
      </c>
      <c r="I319" s="2">
        <v>38443</v>
      </c>
      <c r="J319" s="2" t="s">
        <v>55</v>
      </c>
      <c r="K319" s="6">
        <v>17</v>
      </c>
      <c r="L319" s="1" t="s">
        <v>56</v>
      </c>
      <c r="M319" s="1" t="s">
        <v>54</v>
      </c>
      <c r="N319" s="1" t="s">
        <v>390</v>
      </c>
      <c r="O319" s="1" t="s">
        <v>390</v>
      </c>
      <c r="P319" s="1" t="s">
        <v>395</v>
      </c>
      <c r="Q319">
        <v>0.95481700000000003</v>
      </c>
      <c r="R319">
        <v>0.82190799999999997</v>
      </c>
      <c r="S319" s="16">
        <v>11.425363000000001</v>
      </c>
      <c r="T319" s="18">
        <v>1893932353</v>
      </c>
      <c r="U319" s="13">
        <f t="shared" si="11"/>
        <v>0.68991021966163246</v>
      </c>
    </row>
    <row r="320" spans="1:21" x14ac:dyDescent="0.2">
      <c r="A320" s="12" t="s">
        <v>158</v>
      </c>
      <c r="B320" s="1" t="s">
        <v>55</v>
      </c>
      <c r="C320" s="1" t="s">
        <v>347</v>
      </c>
      <c r="D320" s="1" t="s">
        <v>30</v>
      </c>
      <c r="E320" s="1" t="s">
        <v>105</v>
      </c>
      <c r="F320" s="1" t="s">
        <v>32</v>
      </c>
      <c r="G320" s="2">
        <v>44643</v>
      </c>
      <c r="H320" s="9">
        <v>0</v>
      </c>
      <c r="I320" s="2">
        <v>38443</v>
      </c>
      <c r="J320" s="2" t="s">
        <v>55</v>
      </c>
      <c r="K320" s="6">
        <v>17</v>
      </c>
      <c r="L320" s="1" t="s">
        <v>56</v>
      </c>
      <c r="M320" s="1" t="s">
        <v>54</v>
      </c>
      <c r="N320" s="1" t="s">
        <v>391</v>
      </c>
      <c r="O320" s="1" t="s">
        <v>391</v>
      </c>
      <c r="P320" s="1" t="s">
        <v>395</v>
      </c>
      <c r="Q320">
        <v>0.95149099999999998</v>
      </c>
      <c r="R320">
        <v>0.83247199999999999</v>
      </c>
      <c r="S320" s="16">
        <v>12.451625999999999</v>
      </c>
      <c r="T320" s="18">
        <v>1949226718</v>
      </c>
      <c r="U320" s="13">
        <f t="shared" si="11"/>
        <v>0.71005251642464706</v>
      </c>
    </row>
    <row r="321" spans="1:21" x14ac:dyDescent="0.2">
      <c r="A321" s="12" t="s">
        <v>159</v>
      </c>
      <c r="B321" s="1" t="s">
        <v>55</v>
      </c>
      <c r="C321" s="1" t="s">
        <v>347</v>
      </c>
      <c r="D321" s="1" t="s">
        <v>30</v>
      </c>
      <c r="E321" s="1" t="s">
        <v>105</v>
      </c>
      <c r="F321" s="1" t="s">
        <v>32</v>
      </c>
      <c r="G321" s="2">
        <v>44643</v>
      </c>
      <c r="H321" s="9">
        <v>0</v>
      </c>
      <c r="I321" s="2">
        <v>38443</v>
      </c>
      <c r="J321" s="2" t="s">
        <v>55</v>
      </c>
      <c r="K321" s="6">
        <v>17</v>
      </c>
      <c r="L321" s="1" t="s">
        <v>56</v>
      </c>
      <c r="M321" s="1" t="s">
        <v>54</v>
      </c>
      <c r="N321" s="1" t="s">
        <v>390</v>
      </c>
      <c r="O321" s="1" t="s">
        <v>390</v>
      </c>
      <c r="P321" s="1" t="s">
        <v>395</v>
      </c>
      <c r="Q321">
        <v>0.96379499999999996</v>
      </c>
      <c r="R321">
        <v>0.85944600000000004</v>
      </c>
      <c r="S321" s="16">
        <v>12.201029999999999</v>
      </c>
      <c r="T321" s="18">
        <v>2024478344</v>
      </c>
      <c r="U321" s="13">
        <f t="shared" si="11"/>
        <v>0.73746472348754366</v>
      </c>
    </row>
    <row r="322" spans="1:21" x14ac:dyDescent="0.2">
      <c r="A322" s="12" t="s">
        <v>160</v>
      </c>
      <c r="B322" s="1" t="s">
        <v>55</v>
      </c>
      <c r="C322" s="1" t="s">
        <v>347</v>
      </c>
      <c r="D322" s="1" t="s">
        <v>30</v>
      </c>
      <c r="E322" s="1" t="s">
        <v>105</v>
      </c>
      <c r="F322" s="1" t="s">
        <v>32</v>
      </c>
      <c r="G322" s="2">
        <v>44643</v>
      </c>
      <c r="H322" s="9">
        <v>0</v>
      </c>
      <c r="I322" s="2">
        <v>38443</v>
      </c>
      <c r="J322" s="2" t="s">
        <v>55</v>
      </c>
      <c r="K322" s="6">
        <v>17</v>
      </c>
      <c r="L322" s="1" t="s">
        <v>56</v>
      </c>
      <c r="M322" s="1" t="s">
        <v>54</v>
      </c>
      <c r="N322" s="1" t="s">
        <v>390</v>
      </c>
      <c r="O322" s="1" t="s">
        <v>390</v>
      </c>
      <c r="P322" s="1" t="s">
        <v>395</v>
      </c>
      <c r="Q322">
        <v>0.96121800000000002</v>
      </c>
      <c r="R322">
        <v>0.82977500000000004</v>
      </c>
      <c r="S322" s="16">
        <v>11.254402000000001</v>
      </c>
      <c r="T322" s="18">
        <v>1889120286</v>
      </c>
      <c r="U322" s="13">
        <f t="shared" si="11"/>
        <v>0.68815730900685768</v>
      </c>
    </row>
    <row r="323" spans="1:21" x14ac:dyDescent="0.2">
      <c r="A323" s="12" t="s">
        <v>161</v>
      </c>
      <c r="B323" s="1" t="s">
        <v>55</v>
      </c>
      <c r="C323" s="1" t="s">
        <v>347</v>
      </c>
      <c r="D323" s="1" t="s">
        <v>30</v>
      </c>
      <c r="E323" s="1" t="s">
        <v>105</v>
      </c>
      <c r="F323" s="1" t="s">
        <v>32</v>
      </c>
      <c r="G323" s="2">
        <v>44643</v>
      </c>
      <c r="H323" s="9">
        <v>0</v>
      </c>
      <c r="I323" s="2">
        <v>38443</v>
      </c>
      <c r="J323" s="2" t="s">
        <v>55</v>
      </c>
      <c r="K323" s="6">
        <v>17</v>
      </c>
      <c r="L323" s="1" t="s">
        <v>56</v>
      </c>
      <c r="M323" s="1" t="s">
        <v>54</v>
      </c>
      <c r="N323" s="1" t="s">
        <v>390</v>
      </c>
      <c r="O323" s="1" t="s">
        <v>390</v>
      </c>
      <c r="P323" s="1" t="s">
        <v>395</v>
      </c>
      <c r="Q323">
        <v>0.95677599999999996</v>
      </c>
      <c r="R323">
        <v>0.80399200000000004</v>
      </c>
      <c r="S323" s="16">
        <v>10.555497000000001</v>
      </c>
      <c r="T323" s="18">
        <v>1807878022</v>
      </c>
      <c r="U323" s="13">
        <f t="shared" si="11"/>
        <v>0.6585628685754108</v>
      </c>
    </row>
    <row r="324" spans="1:21" x14ac:dyDescent="0.2">
      <c r="A324" s="12" t="s">
        <v>162</v>
      </c>
      <c r="B324" s="1" t="s">
        <v>55</v>
      </c>
      <c r="C324" s="1" t="s">
        <v>347</v>
      </c>
      <c r="D324" s="1" t="s">
        <v>30</v>
      </c>
      <c r="E324" s="1" t="s">
        <v>105</v>
      </c>
      <c r="F324" s="1" t="s">
        <v>32</v>
      </c>
      <c r="G324" s="2">
        <v>44643</v>
      </c>
      <c r="H324" s="9">
        <v>0</v>
      </c>
      <c r="I324" s="2">
        <v>38443</v>
      </c>
      <c r="J324" s="2" t="s">
        <v>55</v>
      </c>
      <c r="K324" s="6">
        <v>17</v>
      </c>
      <c r="L324" s="1" t="s">
        <v>56</v>
      </c>
      <c r="M324" s="1" t="s">
        <v>54</v>
      </c>
      <c r="N324" s="1" t="s">
        <v>390</v>
      </c>
      <c r="O324" s="1" t="s">
        <v>390</v>
      </c>
      <c r="P324" s="1" t="s">
        <v>395</v>
      </c>
      <c r="Q324">
        <v>0.95863200000000004</v>
      </c>
      <c r="R324">
        <v>0.84783500000000001</v>
      </c>
      <c r="S324" s="16">
        <v>12.478141000000001</v>
      </c>
      <c r="T324" s="18">
        <v>2029073016</v>
      </c>
      <c r="U324" s="13">
        <f t="shared" si="11"/>
        <v>0.73913844280691221</v>
      </c>
    </row>
    <row r="325" spans="1:21" x14ac:dyDescent="0.2">
      <c r="A325" s="12" t="s">
        <v>163</v>
      </c>
      <c r="B325" s="1" t="s">
        <v>55</v>
      </c>
      <c r="C325" s="1" t="s">
        <v>347</v>
      </c>
      <c r="D325" s="1" t="s">
        <v>30</v>
      </c>
      <c r="E325" s="1" t="s">
        <v>105</v>
      </c>
      <c r="F325" s="1" t="s">
        <v>32</v>
      </c>
      <c r="G325" s="2">
        <v>44643</v>
      </c>
      <c r="H325" s="9">
        <v>0</v>
      </c>
      <c r="I325" s="2">
        <v>38443</v>
      </c>
      <c r="J325" s="2" t="s">
        <v>55</v>
      </c>
      <c r="K325" s="6">
        <v>17</v>
      </c>
      <c r="L325" s="1" t="s">
        <v>56</v>
      </c>
      <c r="M325" s="1" t="s">
        <v>54</v>
      </c>
      <c r="N325" s="1" t="s">
        <v>390</v>
      </c>
      <c r="O325" s="1" t="s">
        <v>390</v>
      </c>
      <c r="P325" s="1" t="s">
        <v>395</v>
      </c>
      <c r="Q325">
        <v>0.95981799999999995</v>
      </c>
      <c r="R325">
        <v>0.83857099999999996</v>
      </c>
      <c r="S325" s="16">
        <v>11.766097</v>
      </c>
      <c r="T325" s="18">
        <v>1955156729</v>
      </c>
      <c r="U325" s="13">
        <f t="shared" si="11"/>
        <v>0.71221266495641766</v>
      </c>
    </row>
    <row r="326" spans="1:21" x14ac:dyDescent="0.2">
      <c r="A326" s="12" t="s">
        <v>164</v>
      </c>
      <c r="B326" s="1" t="s">
        <v>55</v>
      </c>
      <c r="C326" s="1" t="s">
        <v>347</v>
      </c>
      <c r="D326" s="1" t="s">
        <v>30</v>
      </c>
      <c r="E326" s="1" t="s">
        <v>105</v>
      </c>
      <c r="F326" s="1" t="s">
        <v>32</v>
      </c>
      <c r="G326" s="2">
        <v>44643</v>
      </c>
      <c r="H326" s="9">
        <v>0</v>
      </c>
      <c r="I326" s="2">
        <v>38443</v>
      </c>
      <c r="J326" s="2" t="s">
        <v>55</v>
      </c>
      <c r="K326" s="6">
        <v>17</v>
      </c>
      <c r="L326" s="1" t="s">
        <v>56</v>
      </c>
      <c r="M326" s="1" t="s">
        <v>54</v>
      </c>
      <c r="N326" s="1" t="s">
        <v>390</v>
      </c>
      <c r="O326" s="1" t="s">
        <v>390</v>
      </c>
      <c r="P326" s="1" t="s">
        <v>395</v>
      </c>
      <c r="Q326">
        <v>0.95596199999999998</v>
      </c>
      <c r="R326">
        <v>0.81992699999999996</v>
      </c>
      <c r="S326" s="16">
        <v>11.991204</v>
      </c>
      <c r="T326" s="18">
        <v>1907819132</v>
      </c>
      <c r="U326" s="13">
        <f t="shared" si="11"/>
        <v>0.69496881150368361</v>
      </c>
    </row>
    <row r="327" spans="1:21" x14ac:dyDescent="0.2">
      <c r="A327" s="12" t="s">
        <v>165</v>
      </c>
      <c r="B327" s="1" t="s">
        <v>55</v>
      </c>
      <c r="C327" s="1" t="s">
        <v>347</v>
      </c>
      <c r="D327" s="1" t="s">
        <v>30</v>
      </c>
      <c r="E327" s="1" t="s">
        <v>105</v>
      </c>
      <c r="F327" s="1" t="s">
        <v>32</v>
      </c>
      <c r="G327" s="2">
        <v>44643</v>
      </c>
      <c r="H327" s="9">
        <v>0</v>
      </c>
      <c r="I327" s="2">
        <v>38443</v>
      </c>
      <c r="J327" s="2" t="s">
        <v>55</v>
      </c>
      <c r="K327" s="6">
        <v>17</v>
      </c>
      <c r="L327" s="1" t="s">
        <v>56</v>
      </c>
      <c r="M327" s="1" t="s">
        <v>54</v>
      </c>
      <c r="N327" s="1" t="s">
        <v>390</v>
      </c>
      <c r="O327" s="1" t="s">
        <v>390</v>
      </c>
      <c r="P327" s="1" t="s">
        <v>395</v>
      </c>
      <c r="Q327">
        <v>0.94275399999999998</v>
      </c>
      <c r="R327">
        <v>0.77573999999999999</v>
      </c>
      <c r="S327" s="16">
        <v>10.826810999999999</v>
      </c>
      <c r="T327" s="18">
        <v>1755821555</v>
      </c>
      <c r="U327" s="13">
        <f t="shared" si="11"/>
        <v>0.63960005370723982</v>
      </c>
    </row>
    <row r="328" spans="1:21" x14ac:dyDescent="0.2">
      <c r="A328" s="12" t="s">
        <v>166</v>
      </c>
      <c r="B328" s="1" t="s">
        <v>55</v>
      </c>
      <c r="C328" s="1" t="s">
        <v>347</v>
      </c>
      <c r="D328" s="1" t="s">
        <v>30</v>
      </c>
      <c r="E328" s="1" t="s">
        <v>105</v>
      </c>
      <c r="F328" s="1" t="s">
        <v>32</v>
      </c>
      <c r="G328" s="2">
        <v>44643</v>
      </c>
      <c r="H328" s="9">
        <v>0</v>
      </c>
      <c r="I328" s="2">
        <v>38443</v>
      </c>
      <c r="J328" s="2" t="s">
        <v>55</v>
      </c>
      <c r="K328" s="6">
        <v>17</v>
      </c>
      <c r="L328" s="1" t="s">
        <v>56</v>
      </c>
      <c r="M328" s="1" t="s">
        <v>54</v>
      </c>
      <c r="N328" s="1" t="s">
        <v>390</v>
      </c>
      <c r="O328" s="1" t="s">
        <v>390</v>
      </c>
      <c r="P328" s="1" t="s">
        <v>395</v>
      </c>
      <c r="Q328">
        <v>0.96544300000000005</v>
      </c>
      <c r="R328">
        <v>0.87226000000000004</v>
      </c>
      <c r="S328" s="16">
        <v>12.699744000000001</v>
      </c>
      <c r="T328" s="18">
        <v>2079280233</v>
      </c>
      <c r="U328" s="13">
        <f t="shared" si="11"/>
        <v>0.75742762407265363</v>
      </c>
    </row>
    <row r="329" spans="1:21" x14ac:dyDescent="0.2">
      <c r="A329" s="12" t="s">
        <v>167</v>
      </c>
      <c r="B329" s="1" t="s">
        <v>55</v>
      </c>
      <c r="C329" s="1" t="s">
        <v>347</v>
      </c>
      <c r="D329" s="1" t="s">
        <v>30</v>
      </c>
      <c r="E329" s="1" t="s">
        <v>105</v>
      </c>
      <c r="F329" s="1" t="s">
        <v>32</v>
      </c>
      <c r="G329" s="2">
        <v>44643</v>
      </c>
      <c r="H329" s="9">
        <v>0</v>
      </c>
      <c r="I329" s="2">
        <v>38443</v>
      </c>
      <c r="J329" s="2" t="s">
        <v>55</v>
      </c>
      <c r="K329" s="6">
        <v>17</v>
      </c>
      <c r="L329" s="1" t="s">
        <v>56</v>
      </c>
      <c r="M329" s="1" t="s">
        <v>54</v>
      </c>
      <c r="N329" s="1" t="s">
        <v>390</v>
      </c>
      <c r="O329" s="1" t="s">
        <v>390</v>
      </c>
      <c r="P329" s="1" t="s">
        <v>395</v>
      </c>
      <c r="Q329">
        <v>0.96159700000000004</v>
      </c>
      <c r="R329">
        <v>0.855406</v>
      </c>
      <c r="S329" s="16">
        <v>11.980945999999999</v>
      </c>
      <c r="T329" s="18">
        <v>2008819901</v>
      </c>
      <c r="U329" s="13">
        <f t="shared" si="11"/>
        <v>0.73176076060176409</v>
      </c>
    </row>
    <row r="330" spans="1:21" x14ac:dyDescent="0.2">
      <c r="A330" s="12" t="s">
        <v>168</v>
      </c>
      <c r="B330" s="1" t="s">
        <v>55</v>
      </c>
      <c r="C330" s="1" t="s">
        <v>347</v>
      </c>
      <c r="D330" s="1" t="s">
        <v>30</v>
      </c>
      <c r="E330" s="1" t="s">
        <v>105</v>
      </c>
      <c r="F330" s="1" t="s">
        <v>32</v>
      </c>
      <c r="G330" s="2">
        <v>44643</v>
      </c>
      <c r="H330" s="9">
        <v>0</v>
      </c>
      <c r="I330" s="2">
        <v>38443</v>
      </c>
      <c r="J330" s="2" t="s">
        <v>55</v>
      </c>
      <c r="K330" s="6">
        <v>17</v>
      </c>
      <c r="L330" s="1" t="s">
        <v>56</v>
      </c>
      <c r="M330" s="1" t="s">
        <v>54</v>
      </c>
      <c r="N330" s="1" t="s">
        <v>390</v>
      </c>
      <c r="O330" s="1" t="s">
        <v>390</v>
      </c>
      <c r="P330" s="1" t="s">
        <v>395</v>
      </c>
      <c r="Q330">
        <v>0.96532399999999996</v>
      </c>
      <c r="R330">
        <v>0.87512100000000004</v>
      </c>
      <c r="S330" s="16">
        <v>13.556913</v>
      </c>
      <c r="T330" s="18">
        <v>2113262749</v>
      </c>
      <c r="U330" s="13">
        <f t="shared" si="11"/>
        <v>0.7698065694141164</v>
      </c>
    </row>
    <row r="331" spans="1:21" x14ac:dyDescent="0.2">
      <c r="A331" s="12" t="s">
        <v>169</v>
      </c>
      <c r="B331" s="1" t="s">
        <v>55</v>
      </c>
      <c r="C331" s="1" t="s">
        <v>347</v>
      </c>
      <c r="D331" s="1" t="s">
        <v>30</v>
      </c>
      <c r="E331" s="1" t="s">
        <v>105</v>
      </c>
      <c r="F331" s="1" t="s">
        <v>32</v>
      </c>
      <c r="G331" s="2">
        <v>44643</v>
      </c>
      <c r="H331" s="9">
        <v>0</v>
      </c>
      <c r="I331" s="2">
        <v>38443</v>
      </c>
      <c r="J331" s="2" t="s">
        <v>55</v>
      </c>
      <c r="K331" s="6">
        <v>17</v>
      </c>
      <c r="L331" s="1" t="s">
        <v>56</v>
      </c>
      <c r="M331" s="1" t="s">
        <v>54</v>
      </c>
      <c r="N331" s="1" t="s">
        <v>390</v>
      </c>
      <c r="O331" s="1" t="s">
        <v>390</v>
      </c>
      <c r="P331" s="1" t="s">
        <v>395</v>
      </c>
      <c r="Q331">
        <v>0.96258999999999995</v>
      </c>
      <c r="R331">
        <v>0.84126599999999996</v>
      </c>
      <c r="S331" s="16">
        <v>11.209452000000001</v>
      </c>
      <c r="T331" s="18">
        <v>1923672942</v>
      </c>
      <c r="U331" s="13">
        <f t="shared" si="11"/>
        <v>0.70074394149829422</v>
      </c>
    </row>
    <row r="332" spans="1:21" x14ac:dyDescent="0.2">
      <c r="A332" s="12" t="s">
        <v>170</v>
      </c>
      <c r="B332" s="1" t="s">
        <v>55</v>
      </c>
      <c r="C332" s="1" t="s">
        <v>347</v>
      </c>
      <c r="D332" s="1" t="s">
        <v>30</v>
      </c>
      <c r="E332" s="1" t="s">
        <v>105</v>
      </c>
      <c r="F332" s="1" t="s">
        <v>32</v>
      </c>
      <c r="G332" s="2">
        <v>44643</v>
      </c>
      <c r="H332" s="9">
        <v>0</v>
      </c>
      <c r="I332" s="2">
        <v>38443</v>
      </c>
      <c r="J332" s="2" t="s">
        <v>55</v>
      </c>
      <c r="K332" s="6">
        <v>17</v>
      </c>
      <c r="L332" s="1" t="s">
        <v>56</v>
      </c>
      <c r="M332" s="1" t="s">
        <v>54</v>
      </c>
      <c r="N332" s="1" t="s">
        <v>390</v>
      </c>
      <c r="O332" s="1" t="s">
        <v>390</v>
      </c>
      <c r="P332" s="1" t="s">
        <v>395</v>
      </c>
      <c r="Q332">
        <v>0.96644099999999999</v>
      </c>
      <c r="R332">
        <v>0.87007299999999999</v>
      </c>
      <c r="S332" s="16">
        <v>12.938385999999999</v>
      </c>
      <c r="T332" s="18">
        <v>2047322035</v>
      </c>
      <c r="U332" s="13">
        <f t="shared" si="11"/>
        <v>0.74578608504553612</v>
      </c>
    </row>
    <row r="333" spans="1:21" x14ac:dyDescent="0.2">
      <c r="A333" s="12" t="s">
        <v>171</v>
      </c>
      <c r="B333" s="1" t="s">
        <v>55</v>
      </c>
      <c r="C333" s="1" t="s">
        <v>347</v>
      </c>
      <c r="D333" s="1" t="s">
        <v>30</v>
      </c>
      <c r="E333" s="1" t="s">
        <v>105</v>
      </c>
      <c r="F333" s="1" t="s">
        <v>32</v>
      </c>
      <c r="G333" s="2">
        <v>44643</v>
      </c>
      <c r="H333" s="9">
        <v>0</v>
      </c>
      <c r="I333" s="2">
        <v>38443</v>
      </c>
      <c r="J333" s="2" t="s">
        <v>55</v>
      </c>
      <c r="K333" s="6">
        <v>17</v>
      </c>
      <c r="L333" s="1" t="s">
        <v>56</v>
      </c>
      <c r="M333" s="1" t="s">
        <v>54</v>
      </c>
      <c r="N333" s="1" t="s">
        <v>391</v>
      </c>
      <c r="O333" s="1" t="s">
        <v>391</v>
      </c>
      <c r="P333" s="1" t="s">
        <v>395</v>
      </c>
      <c r="Q333">
        <v>0.96453100000000003</v>
      </c>
      <c r="R333">
        <v>0.85892800000000002</v>
      </c>
      <c r="S333" s="16">
        <v>11.898642000000001</v>
      </c>
      <c r="T333" s="18">
        <v>1998257712</v>
      </c>
      <c r="U333" s="13">
        <f t="shared" si="11"/>
        <v>0.72791323029184829</v>
      </c>
    </row>
    <row r="334" spans="1:21" x14ac:dyDescent="0.2">
      <c r="A334" s="12" t="s">
        <v>172</v>
      </c>
      <c r="B334" s="1" t="s">
        <v>55</v>
      </c>
      <c r="C334" s="1" t="s">
        <v>347</v>
      </c>
      <c r="D334" s="1" t="s">
        <v>30</v>
      </c>
      <c r="E334" s="1" t="s">
        <v>105</v>
      </c>
      <c r="F334" s="1" t="s">
        <v>32</v>
      </c>
      <c r="G334" s="2">
        <v>44643</v>
      </c>
      <c r="H334" s="9">
        <v>0</v>
      </c>
      <c r="I334" s="2">
        <v>38443</v>
      </c>
      <c r="J334" s="2" t="s">
        <v>55</v>
      </c>
      <c r="K334" s="6">
        <v>17</v>
      </c>
      <c r="L334" s="1" t="s">
        <v>56</v>
      </c>
      <c r="M334" s="1" t="s">
        <v>54</v>
      </c>
      <c r="N334" s="1" t="s">
        <v>391</v>
      </c>
      <c r="O334" s="1" t="s">
        <v>391</v>
      </c>
      <c r="P334" s="1" t="s">
        <v>395</v>
      </c>
      <c r="Q334">
        <v>0.96096000000000004</v>
      </c>
      <c r="R334">
        <v>0.85524500000000003</v>
      </c>
      <c r="S334" s="16">
        <v>12.079094</v>
      </c>
      <c r="T334" s="18">
        <v>1991205687</v>
      </c>
      <c r="U334" s="13">
        <f t="shared" si="11"/>
        <v>0.72534436128810442</v>
      </c>
    </row>
    <row r="335" spans="1:21" x14ac:dyDescent="0.2">
      <c r="A335" s="12" t="s">
        <v>173</v>
      </c>
      <c r="B335" s="1" t="s">
        <v>55</v>
      </c>
      <c r="C335" s="1" t="s">
        <v>347</v>
      </c>
      <c r="D335" s="1" t="s">
        <v>30</v>
      </c>
      <c r="E335" s="1" t="s">
        <v>105</v>
      </c>
      <c r="F335" s="1" t="s">
        <v>32</v>
      </c>
      <c r="G335" s="2">
        <v>44643</v>
      </c>
      <c r="H335" s="9">
        <v>0</v>
      </c>
      <c r="I335" s="2">
        <v>38443</v>
      </c>
      <c r="J335" s="2" t="s">
        <v>55</v>
      </c>
      <c r="K335" s="6">
        <v>17</v>
      </c>
      <c r="L335" s="1" t="s">
        <v>56</v>
      </c>
      <c r="M335" s="1" t="s">
        <v>54</v>
      </c>
      <c r="N335" s="1" t="s">
        <v>390</v>
      </c>
      <c r="O335" s="1" t="s">
        <v>390</v>
      </c>
      <c r="P335" s="1" t="s">
        <v>395</v>
      </c>
      <c r="Q335">
        <v>0.96697</v>
      </c>
      <c r="R335">
        <v>0.87669900000000001</v>
      </c>
      <c r="S335" s="16">
        <v>12.130255</v>
      </c>
      <c r="T335" s="18">
        <v>2072947615</v>
      </c>
      <c r="U335" s="13">
        <f t="shared" si="11"/>
        <v>0.75512081629860994</v>
      </c>
    </row>
    <row r="336" spans="1:21" x14ac:dyDescent="0.2">
      <c r="A336" s="12" t="s">
        <v>174</v>
      </c>
      <c r="B336" s="1" t="s">
        <v>55</v>
      </c>
      <c r="C336" s="1" t="s">
        <v>347</v>
      </c>
      <c r="D336" s="1" t="s">
        <v>30</v>
      </c>
      <c r="E336" s="1" t="s">
        <v>105</v>
      </c>
      <c r="F336" s="1" t="s">
        <v>32</v>
      </c>
      <c r="G336" s="2">
        <v>44643</v>
      </c>
      <c r="H336" s="9">
        <v>0</v>
      </c>
      <c r="I336" s="2">
        <v>38443</v>
      </c>
      <c r="J336" s="2" t="s">
        <v>55</v>
      </c>
      <c r="K336" s="6">
        <v>17</v>
      </c>
      <c r="L336" s="1" t="s">
        <v>56</v>
      </c>
      <c r="M336" s="1" t="s">
        <v>54</v>
      </c>
      <c r="N336" s="1" t="s">
        <v>390</v>
      </c>
      <c r="O336" s="1" t="s">
        <v>390</v>
      </c>
      <c r="P336" s="1" t="s">
        <v>395</v>
      </c>
      <c r="Q336">
        <v>0.96627799999999997</v>
      </c>
      <c r="R336">
        <v>0.86059799999999997</v>
      </c>
      <c r="S336" s="16">
        <v>11.495191</v>
      </c>
      <c r="T336" s="18">
        <v>1973527590</v>
      </c>
      <c r="U336" s="13">
        <f t="shared" si="11"/>
        <v>0.71890469106168342</v>
      </c>
    </row>
    <row r="337" spans="1:21" x14ac:dyDescent="0.2">
      <c r="A337" s="12" t="s">
        <v>175</v>
      </c>
      <c r="B337" s="1" t="s">
        <v>55</v>
      </c>
      <c r="C337" s="1" t="s">
        <v>347</v>
      </c>
      <c r="D337" s="1" t="s">
        <v>30</v>
      </c>
      <c r="E337" s="1" t="s">
        <v>105</v>
      </c>
      <c r="F337" s="1" t="s">
        <v>32</v>
      </c>
      <c r="G337" s="2">
        <v>44643</v>
      </c>
      <c r="H337" s="9">
        <v>0</v>
      </c>
      <c r="I337" s="2">
        <v>38443</v>
      </c>
      <c r="J337" s="2" t="s">
        <v>55</v>
      </c>
      <c r="K337" s="6">
        <v>17</v>
      </c>
      <c r="L337" s="1" t="s">
        <v>56</v>
      </c>
      <c r="M337" s="1" t="s">
        <v>54</v>
      </c>
      <c r="N337" s="1" t="s">
        <v>392</v>
      </c>
      <c r="O337" s="1" t="s">
        <v>392</v>
      </c>
      <c r="P337" s="1" t="s">
        <v>395</v>
      </c>
      <c r="Q337">
        <v>0.92707099999999998</v>
      </c>
      <c r="R337">
        <v>0.76274900000000001</v>
      </c>
      <c r="S337" s="16">
        <v>12.215999999999999</v>
      </c>
      <c r="T337" s="18">
        <v>1782149485</v>
      </c>
      <c r="U337" s="13">
        <f>T337/2745186691</f>
        <v>0.64919063276924505</v>
      </c>
    </row>
    <row r="338" spans="1:21" x14ac:dyDescent="0.2">
      <c r="A338" s="12" t="s">
        <v>176</v>
      </c>
      <c r="B338" s="1" t="s">
        <v>55</v>
      </c>
      <c r="C338" s="1" t="s">
        <v>347</v>
      </c>
      <c r="D338" s="1" t="s">
        <v>30</v>
      </c>
      <c r="E338" s="1" t="s">
        <v>105</v>
      </c>
      <c r="F338" s="1" t="s">
        <v>32</v>
      </c>
      <c r="G338" s="2">
        <v>44643</v>
      </c>
      <c r="H338" s="9">
        <v>0</v>
      </c>
      <c r="I338" s="2">
        <v>38443</v>
      </c>
      <c r="J338" s="2" t="s">
        <v>55</v>
      </c>
      <c r="K338" s="6">
        <v>17</v>
      </c>
      <c r="L338" s="1" t="s">
        <v>56</v>
      </c>
      <c r="M338" s="1" t="s">
        <v>54</v>
      </c>
      <c r="N338" s="1" t="s">
        <v>390</v>
      </c>
      <c r="O338" s="1" t="s">
        <v>390</v>
      </c>
      <c r="P338" s="1" t="s">
        <v>395</v>
      </c>
      <c r="Q338">
        <v>0.96070100000000003</v>
      </c>
      <c r="R338">
        <v>0.85539500000000002</v>
      </c>
      <c r="S338" s="16">
        <v>12.250014999999999</v>
      </c>
      <c r="T338" s="18">
        <v>2037569197</v>
      </c>
      <c r="U338" s="13">
        <f t="shared" ref="U338:U346" si="12">T338/2745186691</f>
        <v>0.74223338022149843</v>
      </c>
    </row>
    <row r="339" spans="1:21" x14ac:dyDescent="0.2">
      <c r="A339" s="12" t="s">
        <v>177</v>
      </c>
      <c r="B339" s="1" t="s">
        <v>55</v>
      </c>
      <c r="C339" s="1" t="s">
        <v>347</v>
      </c>
      <c r="D339" s="1" t="s">
        <v>30</v>
      </c>
      <c r="E339" s="1" t="s">
        <v>105</v>
      </c>
      <c r="F339" s="1" t="s">
        <v>32</v>
      </c>
      <c r="G339" s="2">
        <v>44643</v>
      </c>
      <c r="H339" s="9">
        <v>0</v>
      </c>
      <c r="I339" s="2">
        <v>38443</v>
      </c>
      <c r="J339" s="2" t="s">
        <v>55</v>
      </c>
      <c r="K339" s="6">
        <v>17</v>
      </c>
      <c r="L339" s="1" t="s">
        <v>56</v>
      </c>
      <c r="M339" s="1" t="s">
        <v>54</v>
      </c>
      <c r="N339" s="1" t="s">
        <v>391</v>
      </c>
      <c r="O339" s="1" t="s">
        <v>391</v>
      </c>
      <c r="P339" s="1" t="s">
        <v>395</v>
      </c>
      <c r="Q339">
        <v>0.94680799999999998</v>
      </c>
      <c r="R339">
        <v>0.81246499999999999</v>
      </c>
      <c r="S339" s="16">
        <v>11.170498</v>
      </c>
      <c r="T339" s="18">
        <v>1840002619</v>
      </c>
      <c r="U339" s="13">
        <f t="shared" si="12"/>
        <v>0.67026502242356967</v>
      </c>
    </row>
    <row r="340" spans="1:21" x14ac:dyDescent="0.2">
      <c r="A340" s="12" t="s">
        <v>178</v>
      </c>
      <c r="B340" s="1" t="s">
        <v>55</v>
      </c>
      <c r="C340" s="1" t="s">
        <v>347</v>
      </c>
      <c r="D340" s="1" t="s">
        <v>30</v>
      </c>
      <c r="E340" s="1" t="s">
        <v>105</v>
      </c>
      <c r="F340" s="1" t="s">
        <v>32</v>
      </c>
      <c r="G340" s="2">
        <v>44643</v>
      </c>
      <c r="H340" s="9">
        <v>0</v>
      </c>
      <c r="I340" s="2">
        <v>38443</v>
      </c>
      <c r="J340" s="2" t="s">
        <v>55</v>
      </c>
      <c r="K340" s="6">
        <v>17</v>
      </c>
      <c r="L340" s="1" t="s">
        <v>56</v>
      </c>
      <c r="M340" s="1" t="s">
        <v>54</v>
      </c>
      <c r="N340" s="1" t="s">
        <v>390</v>
      </c>
      <c r="O340" s="1" t="s">
        <v>390</v>
      </c>
      <c r="P340" s="1" t="s">
        <v>395</v>
      </c>
      <c r="Q340">
        <v>0.96741500000000002</v>
      </c>
      <c r="R340">
        <v>0.89774299999999996</v>
      </c>
      <c r="S340" s="16">
        <v>14.372312000000001</v>
      </c>
      <c r="T340" s="18">
        <v>2227923502</v>
      </c>
      <c r="U340" s="13">
        <f t="shared" si="12"/>
        <v>0.81157449484370969</v>
      </c>
    </row>
    <row r="341" spans="1:21" x14ac:dyDescent="0.2">
      <c r="A341" s="12" t="s">
        <v>179</v>
      </c>
      <c r="B341" s="1" t="s">
        <v>55</v>
      </c>
      <c r="C341" s="1" t="s">
        <v>347</v>
      </c>
      <c r="D341" s="1" t="s">
        <v>30</v>
      </c>
      <c r="E341" s="1" t="s">
        <v>105</v>
      </c>
      <c r="F341" s="1" t="s">
        <v>32</v>
      </c>
      <c r="G341" s="2">
        <v>44643</v>
      </c>
      <c r="H341" s="9">
        <v>0</v>
      </c>
      <c r="I341" s="2">
        <v>38443</v>
      </c>
      <c r="J341" s="2" t="s">
        <v>55</v>
      </c>
      <c r="K341" s="6">
        <v>17</v>
      </c>
      <c r="L341" s="1" t="s">
        <v>56</v>
      </c>
      <c r="M341" s="1" t="s">
        <v>54</v>
      </c>
      <c r="N341" s="1" t="s">
        <v>390</v>
      </c>
      <c r="O341" s="1" t="s">
        <v>390</v>
      </c>
      <c r="P341" s="1" t="s">
        <v>395</v>
      </c>
      <c r="Q341">
        <v>0.96211500000000005</v>
      </c>
      <c r="R341">
        <v>0.88797800000000005</v>
      </c>
      <c r="S341" s="16">
        <v>15.858928000000001</v>
      </c>
      <c r="T341" s="18">
        <v>2233683100</v>
      </c>
      <c r="U341" s="13">
        <f t="shared" si="12"/>
        <v>0.81367256635880292</v>
      </c>
    </row>
    <row r="342" spans="1:21" x14ac:dyDescent="0.2">
      <c r="A342" s="12" t="s">
        <v>180</v>
      </c>
      <c r="B342" s="1" t="s">
        <v>55</v>
      </c>
      <c r="C342" s="1" t="s">
        <v>347</v>
      </c>
      <c r="D342" s="1" t="s">
        <v>30</v>
      </c>
      <c r="E342" s="1" t="s">
        <v>105</v>
      </c>
      <c r="F342" s="1" t="s">
        <v>32</v>
      </c>
      <c r="G342" s="2">
        <v>44643</v>
      </c>
      <c r="H342" s="9">
        <v>0</v>
      </c>
      <c r="I342" s="2">
        <v>38443</v>
      </c>
      <c r="J342" s="2" t="s">
        <v>55</v>
      </c>
      <c r="K342" s="6">
        <v>17</v>
      </c>
      <c r="L342" s="1" t="s">
        <v>56</v>
      </c>
      <c r="M342" s="1" t="s">
        <v>54</v>
      </c>
      <c r="N342" s="1" t="s">
        <v>390</v>
      </c>
      <c r="O342" s="1" t="s">
        <v>390</v>
      </c>
      <c r="P342" s="1" t="s">
        <v>395</v>
      </c>
      <c r="Q342">
        <v>0.966418</v>
      </c>
      <c r="R342">
        <v>0.870251</v>
      </c>
      <c r="S342" s="16">
        <v>11.729737</v>
      </c>
      <c r="T342" s="18">
        <v>2052204080</v>
      </c>
      <c r="U342" s="13">
        <f t="shared" si="12"/>
        <v>0.74756448686279897</v>
      </c>
    </row>
    <row r="343" spans="1:21" x14ac:dyDescent="0.2">
      <c r="A343" s="12" t="s">
        <v>181</v>
      </c>
      <c r="B343" s="1" t="s">
        <v>55</v>
      </c>
      <c r="C343" s="1" t="s">
        <v>347</v>
      </c>
      <c r="D343" s="1" t="s">
        <v>30</v>
      </c>
      <c r="E343" s="1" t="s">
        <v>105</v>
      </c>
      <c r="F343" s="1" t="s">
        <v>32</v>
      </c>
      <c r="G343" s="2">
        <v>44643</v>
      </c>
      <c r="H343" s="9">
        <v>0</v>
      </c>
      <c r="I343" s="2">
        <v>38443</v>
      </c>
      <c r="J343" s="2" t="s">
        <v>55</v>
      </c>
      <c r="K343" s="6">
        <v>17</v>
      </c>
      <c r="L343" s="1" t="s">
        <v>56</v>
      </c>
      <c r="M343" s="1" t="s">
        <v>54</v>
      </c>
      <c r="N343" s="1" t="s">
        <v>390</v>
      </c>
      <c r="O343" s="1" t="s">
        <v>390</v>
      </c>
      <c r="P343" s="1" t="s">
        <v>395</v>
      </c>
      <c r="Q343">
        <v>0.96700600000000003</v>
      </c>
      <c r="R343">
        <v>0.88668400000000003</v>
      </c>
      <c r="S343" s="16">
        <v>13.179527</v>
      </c>
      <c r="T343" s="18">
        <v>2141638093</v>
      </c>
      <c r="U343" s="13">
        <f t="shared" si="12"/>
        <v>0.78014296806162098</v>
      </c>
    </row>
    <row r="344" spans="1:21" x14ac:dyDescent="0.2">
      <c r="A344" s="12" t="s">
        <v>182</v>
      </c>
      <c r="B344" s="1" t="s">
        <v>55</v>
      </c>
      <c r="C344" s="1" t="s">
        <v>347</v>
      </c>
      <c r="D344" s="1" t="s">
        <v>30</v>
      </c>
      <c r="E344" s="1" t="s">
        <v>105</v>
      </c>
      <c r="F344" s="1" t="s">
        <v>32</v>
      </c>
      <c r="G344" s="2">
        <v>44643</v>
      </c>
      <c r="H344" s="9">
        <v>0</v>
      </c>
      <c r="I344" s="2">
        <v>38443</v>
      </c>
      <c r="J344" s="2" t="s">
        <v>55</v>
      </c>
      <c r="K344" s="6">
        <v>17</v>
      </c>
      <c r="L344" s="1" t="s">
        <v>56</v>
      </c>
      <c r="M344" s="1" t="s">
        <v>54</v>
      </c>
      <c r="N344" s="1" t="s">
        <v>390</v>
      </c>
      <c r="O344" s="1" t="s">
        <v>390</v>
      </c>
      <c r="P344" s="1" t="s">
        <v>395</v>
      </c>
      <c r="Q344">
        <v>0.94093199999999999</v>
      </c>
      <c r="R344">
        <v>0.68702600000000003</v>
      </c>
      <c r="S344" s="16">
        <v>8.0293500000000009</v>
      </c>
      <c r="T344" s="18">
        <v>1337455363</v>
      </c>
      <c r="U344" s="13">
        <f t="shared" si="12"/>
        <v>0.48720014831224462</v>
      </c>
    </row>
    <row r="345" spans="1:21" x14ac:dyDescent="0.2">
      <c r="A345" s="12" t="s">
        <v>183</v>
      </c>
      <c r="B345" s="1" t="s">
        <v>55</v>
      </c>
      <c r="C345" s="1" t="s">
        <v>347</v>
      </c>
      <c r="D345" s="1" t="s">
        <v>30</v>
      </c>
      <c r="E345" s="1" t="s">
        <v>105</v>
      </c>
      <c r="F345" s="1" t="s">
        <v>53</v>
      </c>
      <c r="G345" s="2">
        <v>44642</v>
      </c>
      <c r="H345" s="9">
        <v>0.9</v>
      </c>
      <c r="I345" s="2">
        <v>38443</v>
      </c>
      <c r="J345" s="2" t="s">
        <v>55</v>
      </c>
      <c r="K345" s="6">
        <v>17</v>
      </c>
      <c r="L345" s="1" t="s">
        <v>56</v>
      </c>
      <c r="M345" s="1" t="s">
        <v>386</v>
      </c>
      <c r="P345" s="1" t="s">
        <v>396</v>
      </c>
      <c r="Q345" s="1" t="s">
        <v>55</v>
      </c>
      <c r="R345" s="1" t="s">
        <v>55</v>
      </c>
      <c r="S345" s="13" t="s">
        <v>55</v>
      </c>
      <c r="T345" s="15" t="s">
        <v>55</v>
      </c>
      <c r="U345" s="13" t="e">
        <f t="shared" si="12"/>
        <v>#VALUE!</v>
      </c>
    </row>
    <row r="346" spans="1:21" x14ac:dyDescent="0.2">
      <c r="A346" s="12" t="s">
        <v>184</v>
      </c>
      <c r="B346" s="1" t="s">
        <v>55</v>
      </c>
      <c r="C346" s="1" t="s">
        <v>347</v>
      </c>
      <c r="D346" s="1" t="s">
        <v>30</v>
      </c>
      <c r="E346" s="1" t="s">
        <v>105</v>
      </c>
      <c r="F346" s="1" t="s">
        <v>32</v>
      </c>
      <c r="G346" s="2">
        <v>44643</v>
      </c>
      <c r="H346" s="9">
        <v>0</v>
      </c>
      <c r="I346" s="2">
        <v>38443</v>
      </c>
      <c r="J346" s="2" t="s">
        <v>55</v>
      </c>
      <c r="K346" s="6">
        <v>17</v>
      </c>
      <c r="L346" s="1" t="s">
        <v>56</v>
      </c>
      <c r="M346" s="1" t="s">
        <v>387</v>
      </c>
      <c r="P346" s="1" t="s">
        <v>395</v>
      </c>
      <c r="Q346">
        <v>0.97425300000000004</v>
      </c>
      <c r="R346">
        <v>0.96669300000000002</v>
      </c>
      <c r="S346" s="16">
        <v>21.101678</v>
      </c>
      <c r="T346" s="18">
        <v>2616512712</v>
      </c>
      <c r="U346" s="13">
        <f t="shared" si="12"/>
        <v>0.95312742138017303</v>
      </c>
    </row>
    <row r="347" spans="1:21" x14ac:dyDescent="0.2">
      <c r="T347" s="15"/>
    </row>
    <row r="348" spans="1:21" x14ac:dyDescent="0.2">
      <c r="T348" s="15"/>
    </row>
    <row r="349" spans="1:21" x14ac:dyDescent="0.2">
      <c r="T349" s="15"/>
    </row>
    <row r="350" spans="1:21" x14ac:dyDescent="0.2">
      <c r="T350" s="15"/>
    </row>
    <row r="351" spans="1:21" x14ac:dyDescent="0.2">
      <c r="T351" s="15"/>
    </row>
    <row r="352" spans="1:21" x14ac:dyDescent="0.2">
      <c r="T352" s="15"/>
    </row>
    <row r="353" spans="20:20" x14ac:dyDescent="0.2">
      <c r="T353" s="15"/>
    </row>
    <row r="354" spans="20:20" x14ac:dyDescent="0.2">
      <c r="T354" s="15"/>
    </row>
    <row r="355" spans="20:20" x14ac:dyDescent="0.2">
      <c r="T355" s="15"/>
    </row>
    <row r="356" spans="20:20" x14ac:dyDescent="0.2">
      <c r="T356" s="15"/>
    </row>
    <row r="357" spans="20:20" x14ac:dyDescent="0.2">
      <c r="T357" s="15"/>
    </row>
    <row r="358" spans="20:20" x14ac:dyDescent="0.2">
      <c r="T358" s="15"/>
    </row>
    <row r="359" spans="20:20" x14ac:dyDescent="0.2">
      <c r="T359" s="15"/>
    </row>
    <row r="360" spans="20:20" x14ac:dyDescent="0.2">
      <c r="T360" s="15"/>
    </row>
    <row r="361" spans="20:20" x14ac:dyDescent="0.2">
      <c r="T361" s="15"/>
    </row>
  </sheetData>
  <autoFilter ref="A1:U346" xr:uid="{AA242BA5-733B-FC49-A2B2-17B2B6C5E9F6}">
    <sortState xmlns:xlrd2="http://schemas.microsoft.com/office/spreadsheetml/2017/richdata2" ref="A2:U346">
      <sortCondition ref="K1:K346"/>
    </sortState>
  </autoFilter>
  <phoneticPr fontId="2" type="noConversion"/>
  <dataValidations count="1">
    <dataValidation type="custom" allowBlank="1" showInputMessage="1" showErrorMessage="1" errorTitle="Tips" error="Sample Name: Limit to 20 characters with numbers, letters, '_' only and can only start with a letter, can not end with '_'." sqref="A106:A346" xr:uid="{28CA4AB7-38B5-6F4F-A615-480C654817FE}">
      <formula1>AND(LEN(A106)&lt;=20,SUMPRODUCT(--ISNUMBER(FIND(MID(A106,ROW(INDIRECT("1:"&amp;LEN(A106))),1),"abcdefghijklmnopqrstuvwxyzABCDEFGHIJKLMNOPQRSTUVWXYZ_"&amp;1/17)))=LEN(A106),NOT(EXACT("_",RIGHT(A106,1))),NOT(EXACT("_",LEFT(A106,1))),CODE(UPPER(LEFT(A106,1)))&lt;91,CODE(UPPER(LEFT(A106,1)))&gt;64)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Steemers</dc:creator>
  <cp:lastModifiedBy>Alexander Steemers</cp:lastModifiedBy>
  <dcterms:created xsi:type="dcterms:W3CDTF">2025-01-09T08:20:48Z</dcterms:created>
  <dcterms:modified xsi:type="dcterms:W3CDTF">2026-03-02T15:14:49Z</dcterms:modified>
</cp:coreProperties>
</file>